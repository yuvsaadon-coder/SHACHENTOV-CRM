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תחשיב כולל" sheetId="1" r:id="rId4"/>
    <sheet state="visible" name="השוואת מחירי יבשים" sheetId="2" r:id="rId5"/>
    <sheet state="visible" name="מעקב תיאומים" sheetId="3" r:id="rId6"/>
  </sheets>
  <definedNames/>
  <calcPr/>
  <extLst>
    <ext uri="GoogleSheetsCustomDataVersion2">
      <go:sheetsCustomData xmlns:go="http://customooxmlschemas.google.com/" r:id="rId7" roundtripDataChecksum="8Hw/vfB1WnV60hhNkbxUyevCtUWaeFxVI0oTFNBqCsg="/>
    </ext>
  </extLst>
</workbook>
</file>

<file path=xl/sharedStrings.xml><?xml version="1.0" encoding="utf-8"?>
<sst xmlns="http://schemas.openxmlformats.org/spreadsheetml/2006/main" count="219" uniqueCount="102">
  <si>
    <t>חגים</t>
  </si>
  <si>
    <t>בקעה</t>
  </si>
  <si>
    <t>גילה</t>
  </si>
  <si>
    <t>נווה יעקב</t>
  </si>
  <si>
    <t>נחלאות</t>
  </si>
  <si>
    <t>קטמון (כולל הרב שחר + קידום נוער + רמת אשכול)</t>
  </si>
  <si>
    <t>קרית מנחם</t>
  </si>
  <si>
    <t>רמות</t>
  </si>
  <si>
    <t>מעלה אדומים-מרב</t>
  </si>
  <si>
    <t>תל אביב</t>
  </si>
  <si>
    <t>ספקים</t>
  </si>
  <si>
    <t>קדימה</t>
  </si>
  <si>
    <t>בית שמש</t>
  </si>
  <si>
    <t>נחלאות רב שמעון</t>
  </si>
  <si>
    <t>שלומי קטמון</t>
  </si>
  <si>
    <t>סבתא רבקא</t>
  </si>
  <si>
    <t>כמות</t>
  </si>
  <si>
    <t>מחיר יח' לפני מעמ</t>
  </si>
  <si>
    <t>אחרי מעמ</t>
  </si>
  <si>
    <t>סהכ</t>
  </si>
  <si>
    <t>סניף</t>
  </si>
  <si>
    <t xml:space="preserve">פרטי איש קשר </t>
  </si>
  <si>
    <t>כתובת</t>
  </si>
  <si>
    <t>תאריך</t>
  </si>
  <si>
    <t>יום</t>
  </si>
  <si>
    <t>כמות סלים</t>
  </si>
  <si>
    <t>שעת אריזה</t>
  </si>
  <si>
    <t>שעת חלוקה</t>
  </si>
  <si>
    <t>יבשים</t>
  </si>
  <si>
    <t>אריזות 2026</t>
  </si>
  <si>
    <t>ירקות</t>
  </si>
  <si>
    <t>ביצים</t>
  </si>
  <si>
    <t>עוף</t>
  </si>
  <si>
    <t>סהכ אריזות 2026</t>
  </si>
  <si>
    <t>מחיר ברוכים לפני מעמ</t>
  </si>
  <si>
    <t>ברוכים אחרי מעמ</t>
  </si>
  <si>
    <t>יוחאי-0542184293</t>
  </si>
  <si>
    <t>סהכ ברוכים</t>
  </si>
  <si>
    <t>סניף עזרא, רחוב הצפירה 27, בקעה, ירושלים</t>
  </si>
  <si>
    <t>ממרח שוקולד 400 גרם</t>
  </si>
  <si>
    <t>אריזות</t>
  </si>
  <si>
    <t>לא תואם</t>
  </si>
  <si>
    <t>איסוף עצמי מתכלית</t>
  </si>
  <si>
    <t>סאל - בני</t>
  </si>
  <si>
    <t>ברוכים</t>
  </si>
  <si>
    <t>לאה- 0549481122</t>
  </si>
  <si>
    <t>אלמוג 6, גילה, ירושלים</t>
  </si>
  <si>
    <t>איסוף עצמי מהרטמן</t>
  </si>
  <si>
    <t>מעלה אדומים</t>
  </si>
  <si>
    <t>מרב - 050-8316311</t>
  </si>
  <si>
    <t>סניף בני עקיבא, הגיתית 2, (בחניה של בית כנסת יצחקי) מעלה אדומים</t>
  </si>
  <si>
    <t>-</t>
  </si>
  <si>
    <t>רסק עגבניות 600 גרם</t>
  </si>
  <si>
    <t>נעמי - 052-3301495</t>
  </si>
  <si>
    <t>בית הספר אורות ברנדט - שדרות נווה יעקב 38 או יצחק טבנקין 10, ירושלים</t>
  </si>
  <si>
    <t>איתמר בן עזרא יביא מתכלית</t>
  </si>
  <si>
    <t>הדס- 0528990130</t>
  </si>
  <si>
    <t>מגרש בית הספר 'דוגמא' למטה, רח' יוסף קפאח 20 (רחוב לוד), ירושלים</t>
  </si>
  <si>
    <t>קטמון</t>
  </si>
  <si>
    <t>052-538-9994 - אסתי</t>
  </si>
  <si>
    <t>בית ספר קשת, רח' אלכסנדריון 23 (בחניון), ירושלים</t>
  </si>
  <si>
    <t xml:space="preserve">טונה 160 גרם 2X  </t>
  </si>
  <si>
    <t>עופר - 054-7544286</t>
  </si>
  <si>
    <t>פנימיית בי"ס בויאר, רח' תורה ועבודה 1, בית וגן, ירושלים</t>
  </si>
  <si>
    <t>אבישג 050-241-9188</t>
  </si>
  <si>
    <t>בית ספר אור תורה רמות</t>
  </si>
  <si>
    <t>סוכר 1 ק"ג</t>
  </si>
  <si>
    <t>ורד - 054-442-3118</t>
  </si>
  <si>
    <t>עמישב 33, תל אביב</t>
  </si>
  <si>
    <t>גלית- 050-7113617</t>
  </si>
  <si>
    <t>אביקסיס 1, קדימה</t>
  </si>
  <si>
    <t>מצות 1 קג</t>
  </si>
  <si>
    <t>מאיר 052-3477913</t>
  </si>
  <si>
    <t>רח' מיטל 4 כניסה ב' דירה 2, שכונת מגדל המים, בית שמש</t>
  </si>
  <si>
    <t>עוגיות לפסח</t>
  </si>
  <si>
    <t>שלומי באבד</t>
  </si>
  <si>
    <t>שלומי שוקרון 0502549156</t>
  </si>
  <si>
    <t>רשב"ג 8 ירושלים (קטמונים)</t>
  </si>
  <si>
    <t>שמן 1 ליטר- 2 יח' למשפחה</t>
  </si>
  <si>
    <t>סבתא רבקה</t>
  </si>
  <si>
    <t>יעקב 052-7622505</t>
  </si>
  <si>
    <t>בצלאל אשכנזי 6, ירושלים</t>
  </si>
  <si>
    <t>הרב שמעון</t>
  </si>
  <si>
    <t>054-8412885</t>
  </si>
  <si>
    <t xml:space="preserve">ניסים בכר 15, נחלאות, ירושלים </t>
  </si>
  <si>
    <t>קמח מצה</t>
  </si>
  <si>
    <t>פטריות</t>
  </si>
  <si>
    <t>קפה שחור</t>
  </si>
  <si>
    <t>אפרסק/אננס</t>
  </si>
  <si>
    <t>תה 100 שקיות</t>
  </si>
  <si>
    <t>מיץ ענבים - 2 יח' למשפחה</t>
  </si>
  <si>
    <t>מיץ ענבים - תרומה</t>
  </si>
  <si>
    <t>קמח תפוא</t>
  </si>
  <si>
    <t>ירקות - איסוף מהרטמן</t>
  </si>
  <si>
    <t>ירקות - איסוף/משלוח מתכלית</t>
  </si>
  <si>
    <t>עוף שלם</t>
  </si>
  <si>
    <t>עוף טחון</t>
  </si>
  <si>
    <t>ביצים 12</t>
  </si>
  <si>
    <t>ביצים 18</t>
  </si>
  <si>
    <t>כולל מעמ</t>
  </si>
  <si>
    <t>(תוספות ת"א, קדימה, בית שמש)</t>
  </si>
  <si>
    <t>סהכ לסל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</si>
</sst>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 ;_ * \-#,##0.00_ ;_ * &quot;-&quot;??_ ;_ @_ "/>
    <numFmt numFmtId="165" formatCode="0.0"/>
  </numFmts>
  <fonts count="19">
    <font>
      <sz val="10.0"/>
      <color rgb="FF000000"/>
      <name val="Arial"/>
      <scheme val="minor"/>
    </font>
    <font>
      <b/>
      <u/>
      <sz val="11.0"/>
      <color theme="1"/>
      <name val="Arial"/>
    </font>
    <font>
      <sz val="11.0"/>
      <color theme="1"/>
      <name val="Arial"/>
    </font>
    <font>
      <b/>
      <u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sz val="11.0"/>
      <color theme="1"/>
      <name val="Calibri"/>
    </font>
    <font>
      <b/>
      <u/>
      <sz val="11.0"/>
      <color theme="1"/>
      <name val="Arial"/>
    </font>
    <font>
      <b/>
      <u/>
      <sz val="11.0"/>
      <color theme="1"/>
      <name val="Arial"/>
    </font>
    <font>
      <sz val="12.0"/>
      <color rgb="FF222222"/>
      <name val="Calibri"/>
    </font>
    <font>
      <b/>
      <sz val="11.0"/>
      <color theme="1"/>
      <name val="Arial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FEF2CB"/>
        <bgColor rgb="FFFEF2CB"/>
      </patternFill>
    </fill>
    <fill>
      <patternFill patternType="solid">
        <fgColor rgb="FFFBD4B4"/>
        <bgColor rgb="FFFBD4B4"/>
      </patternFill>
    </fill>
    <fill>
      <patternFill patternType="solid">
        <fgColor rgb="FFF2DBDB"/>
        <bgColor rgb="FFF2DBDB"/>
      </patternFill>
    </fill>
    <fill>
      <patternFill patternType="solid">
        <fgColor rgb="FFD99594"/>
        <bgColor rgb="FFD99594"/>
      </patternFill>
    </fill>
    <fill>
      <patternFill patternType="solid">
        <fgColor rgb="FFD9F1F3"/>
        <bgColor rgb="FFD9F1F3"/>
      </patternFill>
    </fill>
    <fill>
      <patternFill patternType="solid">
        <fgColor rgb="FFD2F1DA"/>
        <bgColor rgb="FFD2F1DA"/>
      </patternFill>
    </fill>
    <fill>
      <patternFill patternType="solid">
        <fgColor rgb="FFDEEAF6"/>
        <bgColor rgb="FFDEEAF6"/>
      </patternFill>
    </fill>
    <fill>
      <patternFill patternType="solid">
        <fgColor rgb="FFF2DCDB"/>
        <bgColor rgb="FFF2DCDB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Font="1"/>
    <xf borderId="2" fillId="0" fontId="2" numFmtId="0" xfId="0" applyBorder="1" applyFont="1"/>
    <xf borderId="2" fillId="2" fontId="2" numFmtId="0" xfId="0" applyAlignment="1" applyBorder="1" applyFill="1" applyFont="1">
      <alignment horizontal="center" shrinkToFit="0" wrapText="1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2" fillId="0" fontId="8" numFmtId="0" xfId="0" applyAlignment="1" applyBorder="1" applyFont="1">
      <alignment horizontal="center"/>
    </xf>
    <xf borderId="2" fillId="3" fontId="9" numFmtId="0" xfId="0" applyAlignment="1" applyBorder="1" applyFill="1" applyFont="1">
      <alignment horizontal="center" readingOrder="0"/>
    </xf>
    <xf borderId="0" fillId="0" fontId="2" numFmtId="0" xfId="0" applyFont="1"/>
    <xf borderId="2" fillId="4" fontId="2" numFmtId="0" xfId="0" applyAlignment="1" applyBorder="1" applyFill="1" applyFont="1">
      <alignment vertical="bottom"/>
    </xf>
    <xf borderId="2" fillId="5" fontId="6" numFmtId="0" xfId="0" applyAlignment="1" applyBorder="1" applyFill="1" applyFont="1">
      <alignment horizontal="center" readingOrder="0"/>
    </xf>
    <xf borderId="2" fillId="0" fontId="10" numFmtId="0" xfId="0" applyAlignment="1" applyBorder="1" applyFont="1">
      <alignment horizontal="center" vertical="bottom"/>
    </xf>
    <xf borderId="2" fillId="6" fontId="6" numFmtId="0" xfId="0" applyAlignment="1" applyBorder="1" applyFill="1" applyFont="1">
      <alignment horizontal="center" readingOrder="0"/>
    </xf>
    <xf borderId="2" fillId="7" fontId="6" numFmtId="0" xfId="0" applyAlignment="1" applyBorder="1" applyFill="1" applyFont="1">
      <alignment horizontal="center" readingOrder="0"/>
    </xf>
    <xf borderId="2" fillId="8" fontId="7" numFmtId="0" xfId="0" applyAlignment="1" applyBorder="1" applyFill="1" applyFont="1">
      <alignment horizontal="center" readingOrder="0"/>
    </xf>
    <xf borderId="3" fillId="9" fontId="6" numFmtId="0" xfId="0" applyAlignment="1" applyBorder="1" applyFill="1" applyFont="1">
      <alignment horizontal="center" readingOrder="0"/>
    </xf>
    <xf borderId="3" fillId="9" fontId="6" numFmtId="0" xfId="0" applyAlignment="1" applyBorder="1" applyFont="1">
      <alignment horizontal="center"/>
    </xf>
    <xf borderId="2" fillId="10" fontId="11" numFmtId="0" xfId="0" applyAlignment="1" applyBorder="1" applyFill="1" applyFont="1">
      <alignment horizontal="center"/>
    </xf>
    <xf borderId="0" fillId="0" fontId="7" numFmtId="0" xfId="0" applyFont="1"/>
    <xf borderId="2" fillId="3" fontId="12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/>
    </xf>
    <xf borderId="2" fillId="3" fontId="2" numFmtId="0" xfId="0" applyAlignment="1" applyBorder="1" applyFont="1">
      <alignment vertical="bottom"/>
    </xf>
    <xf borderId="2" fillId="0" fontId="13" numFmtId="0" xfId="0" applyAlignment="1" applyBorder="1" applyFont="1">
      <alignment horizontal="center" readingOrder="0" shrinkToFit="0" wrapText="0"/>
    </xf>
    <xf borderId="2" fillId="0" fontId="6" numFmtId="0" xfId="0" applyAlignment="1" applyBorder="1" applyFont="1">
      <alignment horizontal="center"/>
    </xf>
    <xf borderId="2" fillId="0" fontId="6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/>
    </xf>
    <xf borderId="2" fillId="4" fontId="10" numFmtId="0" xfId="0" applyAlignment="1" applyBorder="1" applyFont="1">
      <alignment horizontal="center" vertical="bottom"/>
    </xf>
    <xf borderId="2" fillId="0" fontId="14" numFmtId="0" xfId="0" applyAlignment="1" applyBorder="1" applyFont="1">
      <alignment horizontal="center" vertical="bottom"/>
    </xf>
    <xf borderId="0" fillId="0" fontId="5" numFmtId="0" xfId="0" applyAlignment="1" applyFont="1">
      <alignment horizontal="center" readingOrder="0"/>
    </xf>
    <xf borderId="2" fillId="0" fontId="15" numFmtId="0" xfId="0" applyAlignment="1" applyBorder="1" applyFont="1">
      <alignment horizontal="center" vertical="bottom"/>
    </xf>
    <xf borderId="0" fillId="0" fontId="5" numFmtId="0" xfId="0" applyAlignment="1" applyFont="1">
      <alignment horizontal="center" readingOrder="0"/>
    </xf>
    <xf borderId="2" fillId="0" fontId="16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/>
    </xf>
    <xf borderId="2" fillId="0" fontId="7" numFmtId="20" xfId="0" applyAlignment="1" applyBorder="1" applyFont="1" applyNumberFormat="1">
      <alignment horizontal="center"/>
    </xf>
    <xf borderId="2" fillId="3" fontId="2" numFmtId="0" xfId="0" applyAlignment="1" applyBorder="1" applyFont="1">
      <alignment horizontal="center" vertical="bottom"/>
    </xf>
    <xf borderId="2" fillId="11" fontId="6" numFmtId="0" xfId="0" applyAlignment="1" applyBorder="1" applyFill="1" applyFont="1">
      <alignment horizontal="center" readingOrder="0"/>
    </xf>
    <xf borderId="2" fillId="10" fontId="2" numFmtId="0" xfId="0" applyAlignment="1" applyBorder="1" applyFont="1">
      <alignment vertical="bottom"/>
    </xf>
    <xf borderId="2" fillId="2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 shrinkToFit="0" wrapText="0"/>
    </xf>
    <xf borderId="2" fillId="0" fontId="5" numFmtId="20" xfId="0" applyAlignment="1" applyBorder="1" applyFont="1" applyNumberFormat="1">
      <alignment horizontal="center"/>
    </xf>
    <xf borderId="2" fillId="4" fontId="14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2" fillId="10" fontId="2" numFmtId="0" xfId="0" applyAlignment="1" applyBorder="1" applyFont="1">
      <alignment horizontal="center" vertical="bottom"/>
    </xf>
    <xf borderId="2" fillId="0" fontId="17" numFmtId="0" xfId="0" applyBorder="1" applyFont="1"/>
    <xf borderId="2" fillId="0" fontId="17" numFmtId="0" xfId="0" applyAlignment="1" applyBorder="1" applyFont="1">
      <alignment shrinkToFit="0" wrapText="0"/>
    </xf>
    <xf borderId="2" fillId="0" fontId="5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wrapText="0"/>
    </xf>
    <xf borderId="2" fillId="0" fontId="5" numFmtId="0" xfId="0" applyAlignment="1" applyBorder="1" applyFont="1">
      <alignment horizontal="center" readingOrder="0" shrinkToFit="0" wrapText="0"/>
    </xf>
    <xf borderId="2" fillId="2" fontId="4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12" fontId="10" numFmtId="0" xfId="0" applyAlignment="1" applyBorder="1" applyFill="1" applyFont="1">
      <alignment horizontal="center" vertical="bottom"/>
    </xf>
    <xf borderId="2" fillId="3" fontId="15" numFmtId="0" xfId="0" applyAlignment="1" applyBorder="1" applyFont="1">
      <alignment horizontal="center" vertical="bottom"/>
    </xf>
    <xf borderId="1" fillId="3" fontId="2" numFmtId="0" xfId="0" applyAlignment="1" applyBorder="1" applyFont="1">
      <alignment vertical="bottom"/>
    </xf>
    <xf borderId="1" fillId="3" fontId="15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2" fillId="13" fontId="15" numFmtId="0" xfId="0" applyAlignment="1" applyBorder="1" applyFill="1" applyFont="1">
      <alignment horizontal="right" vertical="bottom"/>
    </xf>
    <xf borderId="2" fillId="13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2" fillId="13" fontId="2" numFmtId="0" xfId="0" applyAlignment="1" applyBorder="1" applyFont="1">
      <alignment horizontal="right" vertical="bottom"/>
    </xf>
    <xf borderId="2" fillId="13" fontId="10" numFmtId="0" xfId="0" applyAlignment="1" applyBorder="1" applyFont="1">
      <alignment horizontal="right" vertical="bottom"/>
    </xf>
    <xf borderId="0" fillId="0" fontId="18" numFmtId="0" xfId="0" applyFont="1"/>
    <xf borderId="0" fillId="0" fontId="2" numFmtId="0" xfId="0" applyAlignment="1" applyFont="1">
      <alignment horizontal="center" vertical="bottom"/>
    </xf>
    <xf borderId="2" fillId="13" fontId="14" numFmtId="0" xfId="0" applyAlignment="1" applyBorder="1" applyFont="1">
      <alignment horizontal="right" vertical="bottom"/>
    </xf>
    <xf borderId="2" fillId="13" fontId="14" numFmtId="165" xfId="0" applyAlignment="1" applyBorder="1" applyFont="1" applyNumberFormat="1">
      <alignment horizontal="right" vertical="bottom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1" max="1" width="27.63"/>
    <col customWidth="1" min="17" max="17" width="18.5"/>
    <col customWidth="1" min="18" max="18" width="19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7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11" t="s">
        <v>16</v>
      </c>
      <c r="Q3" s="12" t="s">
        <v>17</v>
      </c>
      <c r="R3" s="12" t="s">
        <v>18</v>
      </c>
      <c r="S3" s="12" t="s">
        <v>19</v>
      </c>
      <c r="T3" s="2"/>
      <c r="U3" s="2"/>
      <c r="V3" s="2"/>
      <c r="W3" s="13"/>
    </row>
    <row r="4">
      <c r="A4" s="14"/>
      <c r="B4" s="16">
        <v>115.0</v>
      </c>
      <c r="C4" s="16">
        <v>76.0</v>
      </c>
      <c r="D4" s="16">
        <v>55.0</v>
      </c>
      <c r="E4" s="16">
        <v>85.0</v>
      </c>
      <c r="F4" s="16">
        <v>250.0</v>
      </c>
      <c r="G4" s="16">
        <v>150.0</v>
      </c>
      <c r="H4" s="16">
        <v>85.0</v>
      </c>
      <c r="I4" s="16">
        <v>80.0</v>
      </c>
      <c r="J4" s="16">
        <v>90.0</v>
      </c>
      <c r="K4" s="16">
        <v>75.0</v>
      </c>
      <c r="L4" s="16">
        <v>40.0</v>
      </c>
      <c r="M4" s="16">
        <v>50.0</v>
      </c>
      <c r="N4" s="16">
        <v>35.0</v>
      </c>
      <c r="O4" s="16">
        <v>80.0</v>
      </c>
      <c r="P4" s="16">
        <f t="shared" ref="P4:P25" si="2">SUM(B4:O4)</f>
        <v>1266</v>
      </c>
      <c r="Q4" s="26"/>
      <c r="R4" s="26"/>
      <c r="S4" s="26"/>
      <c r="T4" s="2"/>
      <c r="U4" s="2"/>
      <c r="V4" s="2"/>
      <c r="W4" s="2"/>
    </row>
    <row r="5">
      <c r="A5" s="31" t="s">
        <v>39</v>
      </c>
      <c r="B5" s="34">
        <f t="shared" ref="B5:O5" si="1">B$4</f>
        <v>115</v>
      </c>
      <c r="C5" s="34">
        <f t="shared" si="1"/>
        <v>76</v>
      </c>
      <c r="D5" s="34">
        <f t="shared" si="1"/>
        <v>55</v>
      </c>
      <c r="E5" s="34">
        <f t="shared" si="1"/>
        <v>85</v>
      </c>
      <c r="F5" s="34">
        <f t="shared" si="1"/>
        <v>250</v>
      </c>
      <c r="G5" s="34">
        <f t="shared" si="1"/>
        <v>150</v>
      </c>
      <c r="H5" s="34">
        <f t="shared" si="1"/>
        <v>85</v>
      </c>
      <c r="I5" s="34">
        <f t="shared" si="1"/>
        <v>80</v>
      </c>
      <c r="J5" s="34">
        <f t="shared" si="1"/>
        <v>90</v>
      </c>
      <c r="K5" s="34">
        <f t="shared" si="1"/>
        <v>75</v>
      </c>
      <c r="L5" s="34">
        <f t="shared" si="1"/>
        <v>40</v>
      </c>
      <c r="M5" s="34">
        <f t="shared" si="1"/>
        <v>50</v>
      </c>
      <c r="N5" s="34">
        <f t="shared" si="1"/>
        <v>35</v>
      </c>
      <c r="O5" s="34">
        <f t="shared" si="1"/>
        <v>80</v>
      </c>
      <c r="P5" s="34">
        <f t="shared" si="2"/>
        <v>1266</v>
      </c>
      <c r="Q5" s="39">
        <v>5.9</v>
      </c>
      <c r="R5" s="39">
        <f t="shared" ref="R5:R8" si="5">Q5*1.18</f>
        <v>6.962</v>
      </c>
      <c r="S5" s="39">
        <f t="shared" ref="S5:S20" si="6">P5*R5</f>
        <v>8813.892</v>
      </c>
      <c r="T5" s="2"/>
      <c r="U5" s="2"/>
      <c r="V5" s="2"/>
      <c r="W5" s="2"/>
    </row>
    <row r="6">
      <c r="A6" s="31" t="s">
        <v>52</v>
      </c>
      <c r="B6" s="34">
        <f t="shared" ref="B6:G6" si="3">B$4</f>
        <v>115</v>
      </c>
      <c r="C6" s="34">
        <f t="shared" si="3"/>
        <v>76</v>
      </c>
      <c r="D6" s="34">
        <f t="shared" si="3"/>
        <v>55</v>
      </c>
      <c r="E6" s="34">
        <f t="shared" si="3"/>
        <v>85</v>
      </c>
      <c r="F6" s="34">
        <f t="shared" si="3"/>
        <v>250</v>
      </c>
      <c r="G6" s="34">
        <f t="shared" si="3"/>
        <v>150</v>
      </c>
      <c r="H6" s="34">
        <f>H$4*2</f>
        <v>170</v>
      </c>
      <c r="I6" s="34">
        <f t="shared" ref="I6:O6" si="4">I$4</f>
        <v>80</v>
      </c>
      <c r="J6" s="34">
        <f t="shared" si="4"/>
        <v>90</v>
      </c>
      <c r="K6" s="34">
        <f t="shared" si="4"/>
        <v>75</v>
      </c>
      <c r="L6" s="34">
        <f t="shared" si="4"/>
        <v>40</v>
      </c>
      <c r="M6" s="34">
        <f t="shared" si="4"/>
        <v>50</v>
      </c>
      <c r="N6" s="34">
        <f t="shared" si="4"/>
        <v>35</v>
      </c>
      <c r="O6" s="34">
        <f t="shared" si="4"/>
        <v>80</v>
      </c>
      <c r="P6" s="34">
        <f t="shared" si="2"/>
        <v>1351</v>
      </c>
      <c r="Q6" s="39">
        <v>5.3</v>
      </c>
      <c r="R6" s="39">
        <f t="shared" si="5"/>
        <v>6.254</v>
      </c>
      <c r="S6" s="39">
        <f t="shared" si="6"/>
        <v>8449.154</v>
      </c>
      <c r="T6" s="2"/>
      <c r="U6" s="2"/>
      <c r="V6" s="2"/>
      <c r="W6" s="2"/>
    </row>
    <row r="7">
      <c r="A7" s="31" t="s">
        <v>61</v>
      </c>
      <c r="B7" s="34">
        <f t="shared" ref="B7:I7" si="7">2*(B$4)</f>
        <v>230</v>
      </c>
      <c r="C7" s="34">
        <f t="shared" si="7"/>
        <v>152</v>
      </c>
      <c r="D7" s="34">
        <f t="shared" si="7"/>
        <v>110</v>
      </c>
      <c r="E7" s="34">
        <f t="shared" si="7"/>
        <v>170</v>
      </c>
      <c r="F7" s="34">
        <f t="shared" si="7"/>
        <v>500</v>
      </c>
      <c r="G7" s="34">
        <f t="shared" si="7"/>
        <v>300</v>
      </c>
      <c r="H7" s="34">
        <f t="shared" si="7"/>
        <v>170</v>
      </c>
      <c r="I7" s="34">
        <f t="shared" si="7"/>
        <v>160</v>
      </c>
      <c r="J7" s="34">
        <v>180.0</v>
      </c>
      <c r="K7" s="34">
        <f t="shared" ref="K7:O7" si="8">2*(K$4)</f>
        <v>150</v>
      </c>
      <c r="L7" s="34">
        <f t="shared" si="8"/>
        <v>80</v>
      </c>
      <c r="M7" s="34">
        <f t="shared" si="8"/>
        <v>100</v>
      </c>
      <c r="N7" s="34">
        <f t="shared" si="8"/>
        <v>70</v>
      </c>
      <c r="O7" s="34">
        <f t="shared" si="8"/>
        <v>160</v>
      </c>
      <c r="P7" s="34">
        <f t="shared" si="2"/>
        <v>2532</v>
      </c>
      <c r="Q7" s="39">
        <v>2.8</v>
      </c>
      <c r="R7" s="39">
        <f t="shared" si="5"/>
        <v>3.304</v>
      </c>
      <c r="S7" s="39">
        <f t="shared" si="6"/>
        <v>8365.728</v>
      </c>
      <c r="T7" s="2"/>
      <c r="U7" s="2"/>
      <c r="V7" s="2"/>
      <c r="W7" s="2"/>
    </row>
    <row r="8">
      <c r="A8" s="31" t="s">
        <v>66</v>
      </c>
      <c r="B8" s="34">
        <f t="shared" ref="B8:O8" si="9">B$4</f>
        <v>115</v>
      </c>
      <c r="C8" s="34">
        <f t="shared" si="9"/>
        <v>76</v>
      </c>
      <c r="D8" s="34">
        <f t="shared" si="9"/>
        <v>55</v>
      </c>
      <c r="E8" s="34">
        <f t="shared" si="9"/>
        <v>85</v>
      </c>
      <c r="F8" s="34">
        <f t="shared" si="9"/>
        <v>250</v>
      </c>
      <c r="G8" s="34">
        <f t="shared" si="9"/>
        <v>150</v>
      </c>
      <c r="H8" s="34">
        <f t="shared" si="9"/>
        <v>85</v>
      </c>
      <c r="I8" s="34">
        <f t="shared" si="9"/>
        <v>80</v>
      </c>
      <c r="J8" s="34">
        <f t="shared" si="9"/>
        <v>90</v>
      </c>
      <c r="K8" s="34">
        <f t="shared" si="9"/>
        <v>75</v>
      </c>
      <c r="L8" s="34">
        <f t="shared" si="9"/>
        <v>40</v>
      </c>
      <c r="M8" s="34">
        <f t="shared" si="9"/>
        <v>50</v>
      </c>
      <c r="N8" s="34">
        <f t="shared" si="9"/>
        <v>35</v>
      </c>
      <c r="O8" s="34">
        <f t="shared" si="9"/>
        <v>80</v>
      </c>
      <c r="P8" s="34">
        <f t="shared" si="2"/>
        <v>1266</v>
      </c>
      <c r="Q8" s="39">
        <v>3.6</v>
      </c>
      <c r="R8" s="39">
        <f t="shared" si="5"/>
        <v>4.248</v>
      </c>
      <c r="S8" s="39">
        <f t="shared" si="6"/>
        <v>5377.968</v>
      </c>
      <c r="T8" s="2"/>
      <c r="U8" s="2"/>
      <c r="V8" s="2"/>
      <c r="W8" s="2"/>
    </row>
    <row r="9">
      <c r="A9" s="31" t="s">
        <v>71</v>
      </c>
      <c r="B9" s="34">
        <f t="shared" ref="B9:O9" si="10">B$4</f>
        <v>115</v>
      </c>
      <c r="C9" s="34">
        <f t="shared" si="10"/>
        <v>76</v>
      </c>
      <c r="D9" s="34">
        <f t="shared" si="10"/>
        <v>55</v>
      </c>
      <c r="E9" s="34">
        <f t="shared" si="10"/>
        <v>85</v>
      </c>
      <c r="F9" s="34">
        <f t="shared" si="10"/>
        <v>250</v>
      </c>
      <c r="G9" s="34">
        <f t="shared" si="10"/>
        <v>150</v>
      </c>
      <c r="H9" s="34">
        <f t="shared" si="10"/>
        <v>85</v>
      </c>
      <c r="I9" s="34">
        <f t="shared" si="10"/>
        <v>80</v>
      </c>
      <c r="J9" s="34">
        <f t="shared" si="10"/>
        <v>90</v>
      </c>
      <c r="K9" s="34">
        <f t="shared" si="10"/>
        <v>75</v>
      </c>
      <c r="L9" s="34">
        <f t="shared" si="10"/>
        <v>40</v>
      </c>
      <c r="M9" s="34">
        <f t="shared" si="10"/>
        <v>50</v>
      </c>
      <c r="N9" s="34">
        <f t="shared" si="10"/>
        <v>35</v>
      </c>
      <c r="O9" s="34">
        <f t="shared" si="10"/>
        <v>80</v>
      </c>
      <c r="P9" s="34">
        <f t="shared" si="2"/>
        <v>1266</v>
      </c>
      <c r="Q9" s="26"/>
      <c r="R9" s="39">
        <v>16.0</v>
      </c>
      <c r="S9" s="39">
        <f t="shared" si="6"/>
        <v>20256</v>
      </c>
      <c r="T9" s="2"/>
      <c r="U9" s="2"/>
      <c r="V9" s="2"/>
      <c r="W9" s="2"/>
    </row>
    <row r="10">
      <c r="A10" s="31" t="s">
        <v>74</v>
      </c>
      <c r="B10" s="34">
        <f t="shared" ref="B10:O10" si="11">B$4</f>
        <v>115</v>
      </c>
      <c r="C10" s="34">
        <f t="shared" si="11"/>
        <v>76</v>
      </c>
      <c r="D10" s="34">
        <f t="shared" si="11"/>
        <v>55</v>
      </c>
      <c r="E10" s="34">
        <f t="shared" si="11"/>
        <v>85</v>
      </c>
      <c r="F10" s="34">
        <f t="shared" si="11"/>
        <v>250</v>
      </c>
      <c r="G10" s="34">
        <f t="shared" si="11"/>
        <v>150</v>
      </c>
      <c r="H10" s="34">
        <f t="shared" si="11"/>
        <v>85</v>
      </c>
      <c r="I10" s="34">
        <f t="shared" si="11"/>
        <v>80</v>
      </c>
      <c r="J10" s="34">
        <f t="shared" si="11"/>
        <v>90</v>
      </c>
      <c r="K10" s="34">
        <f t="shared" si="11"/>
        <v>75</v>
      </c>
      <c r="L10" s="34">
        <f t="shared" si="11"/>
        <v>40</v>
      </c>
      <c r="M10" s="34">
        <f t="shared" si="11"/>
        <v>50</v>
      </c>
      <c r="N10" s="34">
        <f t="shared" si="11"/>
        <v>35</v>
      </c>
      <c r="O10" s="34">
        <f t="shared" si="11"/>
        <v>80</v>
      </c>
      <c r="P10" s="34">
        <f t="shared" si="2"/>
        <v>1266</v>
      </c>
      <c r="Q10" s="39">
        <v>7.9</v>
      </c>
      <c r="R10" s="39">
        <f t="shared" ref="R10:R20" si="14">Q10*1.18</f>
        <v>9.322</v>
      </c>
      <c r="S10" s="39">
        <f t="shared" si="6"/>
        <v>11801.652</v>
      </c>
      <c r="T10" s="2"/>
      <c r="U10" s="2"/>
      <c r="V10" s="2"/>
      <c r="W10" s="2"/>
    </row>
    <row r="11">
      <c r="A11" s="31" t="s">
        <v>78</v>
      </c>
      <c r="B11" s="34">
        <f t="shared" ref="B11:L11" si="12">2*(B$4)</f>
        <v>230</v>
      </c>
      <c r="C11" s="34">
        <f t="shared" si="12"/>
        <v>152</v>
      </c>
      <c r="D11" s="34">
        <f t="shared" si="12"/>
        <v>110</v>
      </c>
      <c r="E11" s="34">
        <f t="shared" si="12"/>
        <v>170</v>
      </c>
      <c r="F11" s="34">
        <f t="shared" si="12"/>
        <v>500</v>
      </c>
      <c r="G11" s="34">
        <f t="shared" si="12"/>
        <v>300</v>
      </c>
      <c r="H11" s="34">
        <f t="shared" si="12"/>
        <v>170</v>
      </c>
      <c r="I11" s="34">
        <f t="shared" si="12"/>
        <v>160</v>
      </c>
      <c r="J11" s="34">
        <f t="shared" si="12"/>
        <v>180</v>
      </c>
      <c r="K11" s="34">
        <f t="shared" si="12"/>
        <v>150</v>
      </c>
      <c r="L11" s="34">
        <f t="shared" si="12"/>
        <v>80</v>
      </c>
      <c r="M11" s="34">
        <f t="shared" ref="M11:O11" si="13">M$4</f>
        <v>50</v>
      </c>
      <c r="N11" s="34">
        <f t="shared" si="13"/>
        <v>35</v>
      </c>
      <c r="O11" s="34">
        <f t="shared" si="13"/>
        <v>80</v>
      </c>
      <c r="P11" s="34">
        <f t="shared" si="2"/>
        <v>2367</v>
      </c>
      <c r="Q11" s="39">
        <v>5.9</v>
      </c>
      <c r="R11" s="39">
        <f t="shared" si="14"/>
        <v>6.962</v>
      </c>
      <c r="S11" s="39">
        <f t="shared" si="6"/>
        <v>16479.054</v>
      </c>
      <c r="T11" s="2"/>
      <c r="U11" s="2"/>
      <c r="V11" s="2"/>
      <c r="W11" s="2"/>
    </row>
    <row r="12">
      <c r="A12" s="31" t="s">
        <v>85</v>
      </c>
      <c r="B12" s="34">
        <f t="shared" ref="B12:O12" si="15">B$4</f>
        <v>115</v>
      </c>
      <c r="C12" s="34">
        <f t="shared" si="15"/>
        <v>76</v>
      </c>
      <c r="D12" s="34">
        <f t="shared" si="15"/>
        <v>55</v>
      </c>
      <c r="E12" s="34">
        <f t="shared" si="15"/>
        <v>85</v>
      </c>
      <c r="F12" s="34">
        <f t="shared" si="15"/>
        <v>250</v>
      </c>
      <c r="G12" s="34">
        <f t="shared" si="15"/>
        <v>150</v>
      </c>
      <c r="H12" s="34">
        <f t="shared" si="15"/>
        <v>85</v>
      </c>
      <c r="I12" s="34">
        <f t="shared" si="15"/>
        <v>80</v>
      </c>
      <c r="J12" s="34">
        <f t="shared" si="15"/>
        <v>90</v>
      </c>
      <c r="K12" s="34">
        <f t="shared" si="15"/>
        <v>75</v>
      </c>
      <c r="L12" s="34">
        <f t="shared" si="15"/>
        <v>40</v>
      </c>
      <c r="M12" s="34">
        <f t="shared" si="15"/>
        <v>50</v>
      </c>
      <c r="N12" s="34">
        <f t="shared" si="15"/>
        <v>35</v>
      </c>
      <c r="O12" s="34">
        <f t="shared" si="15"/>
        <v>80</v>
      </c>
      <c r="P12" s="34">
        <f t="shared" si="2"/>
        <v>1266</v>
      </c>
      <c r="Q12" s="39">
        <v>5.9</v>
      </c>
      <c r="R12" s="39">
        <f t="shared" si="14"/>
        <v>6.962</v>
      </c>
      <c r="S12" s="39">
        <f t="shared" si="6"/>
        <v>8813.892</v>
      </c>
      <c r="T12" s="2"/>
      <c r="U12" s="2"/>
      <c r="V12" s="2"/>
      <c r="W12" s="2"/>
    </row>
    <row r="13">
      <c r="A13" s="31" t="s">
        <v>86</v>
      </c>
      <c r="B13" s="34">
        <v>0.0</v>
      </c>
      <c r="C13" s="34">
        <v>0.0</v>
      </c>
      <c r="D13" s="34">
        <v>0.0</v>
      </c>
      <c r="E13" s="34">
        <v>0.0</v>
      </c>
      <c r="F13" s="34">
        <v>0.0</v>
      </c>
      <c r="G13" s="34">
        <v>0.0</v>
      </c>
      <c r="H13" s="34">
        <f>H$4</f>
        <v>85</v>
      </c>
      <c r="I13" s="34">
        <v>0.0</v>
      </c>
      <c r="J13" s="34">
        <v>0.0</v>
      </c>
      <c r="K13" s="34">
        <v>0.0</v>
      </c>
      <c r="L13" s="34">
        <v>0.0</v>
      </c>
      <c r="M13" s="34">
        <v>0.0</v>
      </c>
      <c r="N13" s="34">
        <v>0.0</v>
      </c>
      <c r="O13" s="34">
        <v>0.0</v>
      </c>
      <c r="P13" s="34">
        <f t="shared" si="2"/>
        <v>85</v>
      </c>
      <c r="Q13" s="39">
        <v>4.5</v>
      </c>
      <c r="R13" s="39">
        <f t="shared" si="14"/>
        <v>5.31</v>
      </c>
      <c r="S13" s="39">
        <f t="shared" si="6"/>
        <v>451.35</v>
      </c>
      <c r="T13" s="2"/>
      <c r="U13" s="2"/>
      <c r="V13" s="2"/>
      <c r="W13" s="2"/>
    </row>
    <row r="14">
      <c r="A14" s="31" t="s">
        <v>87</v>
      </c>
      <c r="B14" s="56"/>
      <c r="C14" s="57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34">
        <f t="shared" si="2"/>
        <v>0</v>
      </c>
      <c r="Q14" s="39">
        <v>7.9</v>
      </c>
      <c r="R14" s="39">
        <f t="shared" si="14"/>
        <v>9.322</v>
      </c>
      <c r="S14" s="39">
        <f t="shared" si="6"/>
        <v>0</v>
      </c>
      <c r="T14" s="2"/>
      <c r="U14" s="2"/>
      <c r="V14" s="2"/>
      <c r="W14" s="2"/>
    </row>
    <row r="15">
      <c r="A15" s="31" t="s">
        <v>88</v>
      </c>
      <c r="B15" s="56"/>
      <c r="C15" s="57"/>
      <c r="D15" s="56"/>
      <c r="E15" s="56"/>
      <c r="F15" s="56"/>
      <c r="G15" s="56"/>
      <c r="H15" s="34">
        <f>H$4</f>
        <v>85</v>
      </c>
      <c r="I15" s="56"/>
      <c r="J15" s="56"/>
      <c r="K15" s="56"/>
      <c r="L15" s="56"/>
      <c r="M15" s="56"/>
      <c r="N15" s="56"/>
      <c r="O15" s="56"/>
      <c r="P15" s="34">
        <f t="shared" si="2"/>
        <v>85</v>
      </c>
      <c r="Q15" s="39">
        <v>5.8</v>
      </c>
      <c r="R15" s="39">
        <f t="shared" si="14"/>
        <v>6.844</v>
      </c>
      <c r="S15" s="39">
        <f t="shared" si="6"/>
        <v>581.74</v>
      </c>
      <c r="T15" s="2"/>
      <c r="U15" s="2"/>
      <c r="V15" s="2"/>
      <c r="W15" s="2"/>
    </row>
    <row r="16">
      <c r="A16" s="31" t="s">
        <v>89</v>
      </c>
      <c r="B16" s="34">
        <f t="shared" ref="B16:O16" si="16">B$4</f>
        <v>115</v>
      </c>
      <c r="C16" s="34">
        <f t="shared" si="16"/>
        <v>76</v>
      </c>
      <c r="D16" s="34">
        <f t="shared" si="16"/>
        <v>55</v>
      </c>
      <c r="E16" s="34">
        <f t="shared" si="16"/>
        <v>85</v>
      </c>
      <c r="F16" s="34">
        <f t="shared" si="16"/>
        <v>250</v>
      </c>
      <c r="G16" s="34">
        <f t="shared" si="16"/>
        <v>150</v>
      </c>
      <c r="H16" s="34">
        <f t="shared" si="16"/>
        <v>85</v>
      </c>
      <c r="I16" s="34">
        <f t="shared" si="16"/>
        <v>80</v>
      </c>
      <c r="J16" s="34">
        <f t="shared" si="16"/>
        <v>90</v>
      </c>
      <c r="K16" s="34">
        <f t="shared" si="16"/>
        <v>75</v>
      </c>
      <c r="L16" s="34">
        <f t="shared" si="16"/>
        <v>40</v>
      </c>
      <c r="M16" s="34">
        <f t="shared" si="16"/>
        <v>50</v>
      </c>
      <c r="N16" s="34">
        <f t="shared" si="16"/>
        <v>35</v>
      </c>
      <c r="O16" s="34">
        <f t="shared" si="16"/>
        <v>80</v>
      </c>
      <c r="P16" s="34">
        <f t="shared" si="2"/>
        <v>1266</v>
      </c>
      <c r="Q16" s="39">
        <v>7.5</v>
      </c>
      <c r="R16" s="39">
        <f t="shared" si="14"/>
        <v>8.85</v>
      </c>
      <c r="S16" s="39">
        <f t="shared" si="6"/>
        <v>11204.1</v>
      </c>
      <c r="T16" s="2"/>
      <c r="U16" s="2"/>
      <c r="V16" s="2"/>
      <c r="W16" s="2"/>
    </row>
    <row r="17">
      <c r="A17" s="31" t="s">
        <v>90</v>
      </c>
      <c r="B17" s="34">
        <f t="shared" ref="B17:O17" si="17">2*(B$4)</f>
        <v>230</v>
      </c>
      <c r="C17" s="34">
        <f t="shared" si="17"/>
        <v>152</v>
      </c>
      <c r="D17" s="34">
        <f t="shared" si="17"/>
        <v>110</v>
      </c>
      <c r="E17" s="34">
        <f t="shared" si="17"/>
        <v>170</v>
      </c>
      <c r="F17" s="34">
        <f t="shared" si="17"/>
        <v>500</v>
      </c>
      <c r="G17" s="34">
        <f t="shared" si="17"/>
        <v>300</v>
      </c>
      <c r="H17" s="34">
        <f t="shared" si="17"/>
        <v>170</v>
      </c>
      <c r="I17" s="34">
        <f t="shared" si="17"/>
        <v>160</v>
      </c>
      <c r="J17" s="34">
        <f t="shared" si="17"/>
        <v>180</v>
      </c>
      <c r="K17" s="34">
        <f t="shared" si="17"/>
        <v>150</v>
      </c>
      <c r="L17" s="34">
        <f t="shared" si="17"/>
        <v>80</v>
      </c>
      <c r="M17" s="34">
        <f t="shared" si="17"/>
        <v>100</v>
      </c>
      <c r="N17" s="34">
        <f t="shared" si="17"/>
        <v>70</v>
      </c>
      <c r="O17" s="34">
        <f t="shared" si="17"/>
        <v>160</v>
      </c>
      <c r="P17" s="34">
        <f t="shared" si="2"/>
        <v>2532</v>
      </c>
      <c r="Q17" s="39">
        <v>9.9</v>
      </c>
      <c r="R17" s="39">
        <f t="shared" si="14"/>
        <v>11.682</v>
      </c>
      <c r="S17" s="39">
        <f t="shared" si="6"/>
        <v>29578.824</v>
      </c>
      <c r="T17" s="2"/>
      <c r="U17" s="2"/>
      <c r="V17" s="2"/>
      <c r="W17" s="2"/>
    </row>
    <row r="18">
      <c r="A18" s="31" t="s">
        <v>91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34">
        <f t="shared" si="2"/>
        <v>0</v>
      </c>
      <c r="Q18" s="26"/>
      <c r="R18" s="39">
        <f t="shared" si="14"/>
        <v>0</v>
      </c>
      <c r="S18" s="39">
        <f t="shared" si="6"/>
        <v>0</v>
      </c>
      <c r="T18" s="2"/>
      <c r="U18" s="2"/>
      <c r="V18" s="2"/>
      <c r="W18" s="2"/>
    </row>
    <row r="19">
      <c r="A19" s="31" t="s">
        <v>92</v>
      </c>
      <c r="B19" s="34">
        <f t="shared" ref="B19:O19" si="18">B$4</f>
        <v>115</v>
      </c>
      <c r="C19" s="34">
        <f t="shared" si="18"/>
        <v>76</v>
      </c>
      <c r="D19" s="34">
        <f t="shared" si="18"/>
        <v>55</v>
      </c>
      <c r="E19" s="34">
        <f t="shared" si="18"/>
        <v>85</v>
      </c>
      <c r="F19" s="34">
        <f t="shared" si="18"/>
        <v>250</v>
      </c>
      <c r="G19" s="34">
        <f t="shared" si="18"/>
        <v>150</v>
      </c>
      <c r="H19" s="34">
        <f t="shared" si="18"/>
        <v>85</v>
      </c>
      <c r="I19" s="34">
        <f t="shared" si="18"/>
        <v>80</v>
      </c>
      <c r="J19" s="34">
        <f t="shared" si="18"/>
        <v>90</v>
      </c>
      <c r="K19" s="34">
        <f t="shared" si="18"/>
        <v>75</v>
      </c>
      <c r="L19" s="34">
        <f t="shared" si="18"/>
        <v>40</v>
      </c>
      <c r="M19" s="34">
        <f t="shared" si="18"/>
        <v>50</v>
      </c>
      <c r="N19" s="34">
        <f t="shared" si="18"/>
        <v>35</v>
      </c>
      <c r="O19" s="34">
        <f t="shared" si="18"/>
        <v>80</v>
      </c>
      <c r="P19" s="34">
        <f t="shared" si="2"/>
        <v>1266</v>
      </c>
      <c r="Q19" s="39">
        <v>4.4</v>
      </c>
      <c r="R19" s="39">
        <f t="shared" si="14"/>
        <v>5.192</v>
      </c>
      <c r="S19" s="39">
        <f t="shared" si="6"/>
        <v>6573.072</v>
      </c>
      <c r="T19" s="2"/>
      <c r="U19" s="2"/>
      <c r="V19" s="2"/>
      <c r="W19" s="2"/>
    </row>
    <row r="20">
      <c r="A20" s="58" t="s">
        <v>93</v>
      </c>
      <c r="B20" s="56"/>
      <c r="C20" s="34">
        <f>C$4</f>
        <v>76</v>
      </c>
      <c r="D20" s="56"/>
      <c r="E20" s="56"/>
      <c r="F20" s="34">
        <f>F$4</f>
        <v>250</v>
      </c>
      <c r="G20" s="56"/>
      <c r="H20" s="56"/>
      <c r="I20" s="56"/>
      <c r="J20" s="56"/>
      <c r="K20" s="56"/>
      <c r="L20" s="56"/>
      <c r="M20" s="56"/>
      <c r="N20" s="56"/>
      <c r="O20" s="56"/>
      <c r="P20" s="34">
        <f t="shared" si="2"/>
        <v>326</v>
      </c>
      <c r="Q20" s="39">
        <v>0.0</v>
      </c>
      <c r="R20" s="39">
        <f t="shared" si="14"/>
        <v>0</v>
      </c>
      <c r="S20" s="39">
        <f t="shared" si="6"/>
        <v>0</v>
      </c>
      <c r="T20" s="2"/>
      <c r="U20" s="2"/>
      <c r="V20" s="2"/>
      <c r="W20" s="2"/>
    </row>
    <row r="21">
      <c r="A21" s="58" t="s">
        <v>94</v>
      </c>
      <c r="B21" s="34">
        <f>B$4</f>
        <v>115</v>
      </c>
      <c r="C21" s="56"/>
      <c r="D21" s="34">
        <f t="shared" ref="D21:E21" si="19">D$4</f>
        <v>55</v>
      </c>
      <c r="E21" s="34">
        <f t="shared" si="19"/>
        <v>85</v>
      </c>
      <c r="F21" s="56"/>
      <c r="G21" s="56"/>
      <c r="H21" s="34">
        <f>H$4</f>
        <v>85</v>
      </c>
      <c r="I21" s="56"/>
      <c r="J21" s="56"/>
      <c r="K21" s="56"/>
      <c r="L21" s="56"/>
      <c r="M21" s="56"/>
      <c r="N21" s="56"/>
      <c r="O21" s="56"/>
      <c r="P21" s="34">
        <f t="shared" si="2"/>
        <v>340</v>
      </c>
      <c r="Q21" s="26"/>
      <c r="R21" s="26"/>
      <c r="S21" s="26"/>
      <c r="T21" s="2"/>
      <c r="U21" s="2"/>
      <c r="V21" s="2"/>
      <c r="W21" s="2"/>
    </row>
    <row r="22">
      <c r="A22" s="58" t="s">
        <v>95</v>
      </c>
      <c r="B22" s="34">
        <v>65.0</v>
      </c>
      <c r="C22" s="34">
        <v>76.0</v>
      </c>
      <c r="D22" s="34">
        <v>30.0</v>
      </c>
      <c r="E22" s="34">
        <v>40.0</v>
      </c>
      <c r="F22" s="34">
        <v>112.0</v>
      </c>
      <c r="G22" s="34">
        <v>75.0</v>
      </c>
      <c r="H22" s="34">
        <v>85.0</v>
      </c>
      <c r="I22" s="56"/>
      <c r="J22" s="56"/>
      <c r="K22" s="56"/>
      <c r="L22" s="56"/>
      <c r="M22" s="56"/>
      <c r="N22" s="56"/>
      <c r="O22" s="56"/>
      <c r="P22" s="34">
        <f t="shared" si="2"/>
        <v>483</v>
      </c>
      <c r="Q22" s="26"/>
      <c r="R22" s="59">
        <f>16.9*1.18*1.9</f>
        <v>37.8898</v>
      </c>
      <c r="S22" s="39">
        <f t="shared" ref="S22:S25" si="20">P22*R22</f>
        <v>18300.7734</v>
      </c>
      <c r="T22" s="2"/>
      <c r="U22" s="2"/>
      <c r="V22" s="2"/>
      <c r="W22" s="2"/>
    </row>
    <row r="23">
      <c r="A23" s="58" t="s">
        <v>96</v>
      </c>
      <c r="B23" s="34">
        <v>50.0</v>
      </c>
      <c r="C23" s="34">
        <v>0.0</v>
      </c>
      <c r="D23" s="34">
        <v>25.0</v>
      </c>
      <c r="E23" s="34">
        <v>45.0</v>
      </c>
      <c r="F23" s="56"/>
      <c r="G23" s="34">
        <f>G4-G22</f>
        <v>75</v>
      </c>
      <c r="H23" s="34">
        <v>0.0</v>
      </c>
      <c r="I23" s="56"/>
      <c r="J23" s="56"/>
      <c r="K23" s="56"/>
      <c r="L23" s="56"/>
      <c r="M23" s="56"/>
      <c r="N23" s="56"/>
      <c r="O23" s="56"/>
      <c r="P23" s="34">
        <f t="shared" si="2"/>
        <v>195</v>
      </c>
      <c r="Q23" s="26"/>
      <c r="R23" s="59">
        <v>20.0</v>
      </c>
      <c r="S23" s="39">
        <f t="shared" si="20"/>
        <v>3900</v>
      </c>
      <c r="T23" s="2"/>
      <c r="U23" s="2"/>
      <c r="V23" s="2"/>
      <c r="W23" s="2"/>
    </row>
    <row r="24">
      <c r="A24" s="58" t="s">
        <v>97</v>
      </c>
      <c r="B24" s="56"/>
      <c r="C24" s="56"/>
      <c r="D24" s="56"/>
      <c r="E24" s="56"/>
      <c r="F24" s="56"/>
      <c r="G24" s="56"/>
      <c r="H24" s="34">
        <f>H$4*2</f>
        <v>170</v>
      </c>
      <c r="I24" s="34">
        <f>I$4</f>
        <v>80</v>
      </c>
      <c r="J24" s="56"/>
      <c r="K24" s="56"/>
      <c r="L24" s="56"/>
      <c r="M24" s="34">
        <f t="shared" ref="M24:O24" si="21">M$4</f>
        <v>50</v>
      </c>
      <c r="N24" s="34">
        <f t="shared" si="21"/>
        <v>35</v>
      </c>
      <c r="O24" s="34">
        <f t="shared" si="21"/>
        <v>80</v>
      </c>
      <c r="P24" s="34">
        <f t="shared" si="2"/>
        <v>415</v>
      </c>
      <c r="Q24" s="26"/>
      <c r="R24" s="59">
        <f>10*1.18</f>
        <v>11.8</v>
      </c>
      <c r="S24" s="39">
        <f t="shared" si="20"/>
        <v>4897</v>
      </c>
      <c r="T24" s="2"/>
      <c r="U24" s="2"/>
      <c r="V24" s="2"/>
      <c r="W24" s="2"/>
    </row>
    <row r="25">
      <c r="A25" s="58" t="s">
        <v>98</v>
      </c>
      <c r="B25" s="34">
        <f t="shared" ref="B25:G25" si="22">B$4</f>
        <v>115</v>
      </c>
      <c r="C25" s="34">
        <f t="shared" si="22"/>
        <v>76</v>
      </c>
      <c r="D25" s="34">
        <f t="shared" si="22"/>
        <v>55</v>
      </c>
      <c r="E25" s="34">
        <f t="shared" si="22"/>
        <v>85</v>
      </c>
      <c r="F25" s="34">
        <f t="shared" si="22"/>
        <v>250</v>
      </c>
      <c r="G25" s="34">
        <f t="shared" si="22"/>
        <v>150</v>
      </c>
      <c r="H25" s="56"/>
      <c r="I25" s="56"/>
      <c r="J25" s="56"/>
      <c r="K25" s="56"/>
      <c r="L25" s="56"/>
      <c r="M25" s="56"/>
      <c r="N25" s="56"/>
      <c r="O25" s="56"/>
      <c r="P25" s="34">
        <f t="shared" si="2"/>
        <v>731</v>
      </c>
      <c r="Q25" s="60"/>
      <c r="R25" s="61">
        <f>15*1.18</f>
        <v>17.7</v>
      </c>
      <c r="S25" s="62">
        <f t="shared" si="20"/>
        <v>12938.7</v>
      </c>
      <c r="T25" s="2"/>
      <c r="U25" s="2"/>
      <c r="V25" s="2"/>
      <c r="W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63" t="s">
        <v>99</v>
      </c>
      <c r="Q26" s="2"/>
      <c r="R26" s="2"/>
      <c r="S26" s="63">
        <f>SUM(S4:S25)</f>
        <v>176782.8994</v>
      </c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64"/>
      <c r="Q27" s="2"/>
      <c r="R27" s="2"/>
      <c r="S27" s="64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64"/>
      <c r="Q28" s="2"/>
      <c r="R28" s="2"/>
      <c r="S28" s="64"/>
      <c r="T28" s="2"/>
      <c r="U28" s="2"/>
      <c r="V28" s="2"/>
      <c r="W28" s="2"/>
    </row>
    <row r="29">
      <c r="A29" s="2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2"/>
      <c r="N29" s="2"/>
      <c r="O29" s="2"/>
      <c r="P29" s="63" t="s">
        <v>100</v>
      </c>
      <c r="Q29" s="2"/>
      <c r="R29" s="2"/>
      <c r="S29" s="63">
        <v>8000.0</v>
      </c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66"/>
      <c r="L30" s="66"/>
      <c r="M30" s="66"/>
      <c r="N30" s="2"/>
      <c r="O30" s="2"/>
      <c r="P30" s="64"/>
      <c r="Q30" s="2"/>
      <c r="R30" s="2"/>
      <c r="S30" s="64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66"/>
      <c r="L31" s="66"/>
      <c r="M31" s="66"/>
      <c r="N31" s="2"/>
      <c r="O31" s="2"/>
      <c r="P31" s="64"/>
      <c r="Q31" s="2"/>
      <c r="R31" s="2"/>
      <c r="S31" s="64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66"/>
      <c r="L32" s="66"/>
      <c r="M32" s="66"/>
      <c r="N32" s="2"/>
      <c r="O32" s="2"/>
      <c r="P32" s="64"/>
      <c r="Q32" s="2"/>
      <c r="R32" s="2"/>
      <c r="S32" s="64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66"/>
      <c r="L33" s="66"/>
      <c r="M33" s="66"/>
      <c r="N33" s="2"/>
      <c r="O33" s="2"/>
      <c r="P33" s="64"/>
      <c r="Q33" s="2"/>
      <c r="R33" s="2"/>
      <c r="S33" s="68">
        <f>SUM(S26:S31)</f>
        <v>184782.8994</v>
      </c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66"/>
      <c r="L34" s="66"/>
      <c r="M34" s="66"/>
      <c r="N34" s="2"/>
      <c r="O34" s="2"/>
      <c r="P34" s="2"/>
      <c r="Q34" s="2"/>
      <c r="R34" s="2"/>
      <c r="S34" s="69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70"/>
      <c r="L35" s="70"/>
      <c r="M35" s="66"/>
      <c r="N35" s="2"/>
      <c r="O35" s="2"/>
      <c r="P35" s="2"/>
      <c r="Q35" s="2"/>
      <c r="R35" s="2"/>
      <c r="S35" s="69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69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70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</row>
    <row r="976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</row>
    <row r="977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</row>
    <row r="978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</row>
    <row r="979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</row>
    <row r="980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</row>
    <row r="98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</row>
    <row r="98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</row>
    <row r="983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</row>
    <row r="984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</row>
    <row r="98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</row>
    <row r="986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</row>
    <row r="987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</row>
    <row r="988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</row>
    <row r="989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</row>
    <row r="990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</row>
    <row r="99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</row>
    <row r="992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</row>
    <row r="993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</row>
    <row r="994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</row>
    <row r="99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</row>
    <row r="996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</row>
    <row r="997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</row>
    <row r="998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</row>
    <row r="999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</row>
    <row r="1000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1" max="1" width="24.5"/>
    <col hidden="1" min="2" max="15" width="12.63"/>
    <col customWidth="1" min="18" max="18" width="24.75"/>
    <col customWidth="1" min="19" max="19" width="20.75"/>
    <col customWidth="1" min="20" max="20" width="19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7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11" t="s">
        <v>16</v>
      </c>
      <c r="Q3" s="22" t="s">
        <v>29</v>
      </c>
      <c r="R3" s="22" t="s">
        <v>33</v>
      </c>
      <c r="S3" s="24" t="s">
        <v>34</v>
      </c>
      <c r="T3" s="24" t="s">
        <v>35</v>
      </c>
      <c r="U3" s="24" t="s">
        <v>37</v>
      </c>
      <c r="V3" s="2"/>
      <c r="W3" s="2"/>
      <c r="X3" s="2"/>
      <c r="Y3" s="13"/>
    </row>
    <row r="4">
      <c r="A4" s="14"/>
      <c r="B4" s="32">
        <v>115.0</v>
      </c>
      <c r="C4" s="32">
        <v>76.0</v>
      </c>
      <c r="D4" s="32">
        <v>55.0</v>
      </c>
      <c r="E4" s="32">
        <v>85.0</v>
      </c>
      <c r="F4" s="32">
        <v>250.0</v>
      </c>
      <c r="G4" s="32">
        <v>150.0</v>
      </c>
      <c r="H4" s="32">
        <v>85.0</v>
      </c>
      <c r="I4" s="32">
        <v>80.0</v>
      </c>
      <c r="J4" s="32">
        <v>90.0</v>
      </c>
      <c r="K4" s="32">
        <v>75.0</v>
      </c>
      <c r="L4" s="32">
        <v>40.0</v>
      </c>
      <c r="M4" s="32">
        <v>50.0</v>
      </c>
      <c r="N4" s="32">
        <v>35.0</v>
      </c>
      <c r="O4" s="32">
        <v>80.0</v>
      </c>
      <c r="P4" s="32">
        <f t="shared" ref="P4:P19" si="2">SUM(B4:O4)</f>
        <v>1266</v>
      </c>
      <c r="Q4" s="41"/>
      <c r="R4" s="41"/>
      <c r="S4" s="26"/>
      <c r="T4" s="26"/>
      <c r="U4" s="26"/>
      <c r="V4" s="2"/>
      <c r="W4" s="2"/>
      <c r="X4" s="2"/>
      <c r="Y4" s="2"/>
    </row>
    <row r="5">
      <c r="A5" s="45" t="s">
        <v>39</v>
      </c>
      <c r="B5" s="46">
        <f t="shared" ref="B5:O5" si="1">B$4</f>
        <v>115</v>
      </c>
      <c r="C5" s="46">
        <f t="shared" si="1"/>
        <v>76</v>
      </c>
      <c r="D5" s="46">
        <f t="shared" si="1"/>
        <v>55</v>
      </c>
      <c r="E5" s="46">
        <f t="shared" si="1"/>
        <v>85</v>
      </c>
      <c r="F5" s="46">
        <f t="shared" si="1"/>
        <v>250</v>
      </c>
      <c r="G5" s="46">
        <f t="shared" si="1"/>
        <v>150</v>
      </c>
      <c r="H5" s="46">
        <f t="shared" si="1"/>
        <v>85</v>
      </c>
      <c r="I5" s="46">
        <f t="shared" si="1"/>
        <v>80</v>
      </c>
      <c r="J5" s="46">
        <f t="shared" si="1"/>
        <v>90</v>
      </c>
      <c r="K5" s="46">
        <f t="shared" si="1"/>
        <v>75</v>
      </c>
      <c r="L5" s="46">
        <f t="shared" si="1"/>
        <v>40</v>
      </c>
      <c r="M5" s="46">
        <f t="shared" si="1"/>
        <v>50</v>
      </c>
      <c r="N5" s="46">
        <f t="shared" si="1"/>
        <v>35</v>
      </c>
      <c r="O5" s="46">
        <f t="shared" si="1"/>
        <v>80</v>
      </c>
      <c r="P5" s="46">
        <f t="shared" si="2"/>
        <v>1266</v>
      </c>
      <c r="Q5" s="47">
        <v>6.49</v>
      </c>
      <c r="R5" s="47">
        <f t="shared" ref="R5:R19" si="5">Q5*P5</f>
        <v>8216.34</v>
      </c>
      <c r="S5" s="39">
        <v>5.9</v>
      </c>
      <c r="T5" s="39">
        <f t="shared" ref="T5:T8" si="6">S5*1.18</f>
        <v>6.962</v>
      </c>
      <c r="U5" s="39">
        <f t="shared" ref="U5:U19" si="7">P5*T5</f>
        <v>8813.892</v>
      </c>
      <c r="V5" s="2"/>
      <c r="W5" s="2"/>
      <c r="X5" s="2"/>
      <c r="Y5" s="2"/>
    </row>
    <row r="6">
      <c r="A6" s="45" t="s">
        <v>52</v>
      </c>
      <c r="B6" s="46">
        <f t="shared" ref="B6:G6" si="3">B$4</f>
        <v>115</v>
      </c>
      <c r="C6" s="46">
        <f t="shared" si="3"/>
        <v>76</v>
      </c>
      <c r="D6" s="46">
        <f t="shared" si="3"/>
        <v>55</v>
      </c>
      <c r="E6" s="46">
        <f t="shared" si="3"/>
        <v>85</v>
      </c>
      <c r="F6" s="46">
        <f t="shared" si="3"/>
        <v>250</v>
      </c>
      <c r="G6" s="46">
        <f t="shared" si="3"/>
        <v>150</v>
      </c>
      <c r="H6" s="46">
        <f>H$4*2</f>
        <v>170</v>
      </c>
      <c r="I6" s="46">
        <f t="shared" ref="I6:O6" si="4">I$4</f>
        <v>80</v>
      </c>
      <c r="J6" s="46">
        <f t="shared" si="4"/>
        <v>90</v>
      </c>
      <c r="K6" s="46">
        <f t="shared" si="4"/>
        <v>75</v>
      </c>
      <c r="L6" s="46">
        <f t="shared" si="4"/>
        <v>40</v>
      </c>
      <c r="M6" s="46">
        <f t="shared" si="4"/>
        <v>50</v>
      </c>
      <c r="N6" s="46">
        <f t="shared" si="4"/>
        <v>35</v>
      </c>
      <c r="O6" s="46">
        <f t="shared" si="4"/>
        <v>80</v>
      </c>
      <c r="P6" s="46">
        <f t="shared" si="2"/>
        <v>1351</v>
      </c>
      <c r="Q6" s="47">
        <v>4.96</v>
      </c>
      <c r="R6" s="47">
        <f t="shared" si="5"/>
        <v>6700.96</v>
      </c>
      <c r="S6" s="39">
        <v>5.3</v>
      </c>
      <c r="T6" s="39">
        <f t="shared" si="6"/>
        <v>6.254</v>
      </c>
      <c r="U6" s="39">
        <f t="shared" si="7"/>
        <v>8449.154</v>
      </c>
      <c r="V6" s="2"/>
      <c r="W6" s="2"/>
      <c r="X6" s="2"/>
      <c r="Y6" s="2"/>
    </row>
    <row r="7">
      <c r="A7" s="45" t="s">
        <v>61</v>
      </c>
      <c r="B7" s="46">
        <f t="shared" ref="B7:I7" si="8">2*(B$4)</f>
        <v>230</v>
      </c>
      <c r="C7" s="46">
        <f t="shared" si="8"/>
        <v>152</v>
      </c>
      <c r="D7" s="46">
        <f t="shared" si="8"/>
        <v>110</v>
      </c>
      <c r="E7" s="46">
        <f t="shared" si="8"/>
        <v>170</v>
      </c>
      <c r="F7" s="46">
        <f t="shared" si="8"/>
        <v>500</v>
      </c>
      <c r="G7" s="46">
        <f t="shared" si="8"/>
        <v>300</v>
      </c>
      <c r="H7" s="46">
        <f t="shared" si="8"/>
        <v>170</v>
      </c>
      <c r="I7" s="46">
        <f t="shared" si="8"/>
        <v>160</v>
      </c>
      <c r="J7" s="46">
        <v>180.0</v>
      </c>
      <c r="K7" s="46">
        <f t="shared" ref="K7:O7" si="9">2*(K$4)</f>
        <v>150</v>
      </c>
      <c r="L7" s="46">
        <f t="shared" si="9"/>
        <v>80</v>
      </c>
      <c r="M7" s="46">
        <f t="shared" si="9"/>
        <v>100</v>
      </c>
      <c r="N7" s="46">
        <f t="shared" si="9"/>
        <v>70</v>
      </c>
      <c r="O7" s="46">
        <f t="shared" si="9"/>
        <v>160</v>
      </c>
      <c r="P7" s="46">
        <f t="shared" si="2"/>
        <v>2532</v>
      </c>
      <c r="Q7" s="47">
        <v>3.25</v>
      </c>
      <c r="R7" s="47">
        <f t="shared" si="5"/>
        <v>8229</v>
      </c>
      <c r="S7" s="39">
        <v>2.8</v>
      </c>
      <c r="T7" s="39">
        <f t="shared" si="6"/>
        <v>3.304</v>
      </c>
      <c r="U7" s="39">
        <f t="shared" si="7"/>
        <v>8365.728</v>
      </c>
      <c r="V7" s="2"/>
      <c r="W7" s="2"/>
      <c r="X7" s="2"/>
      <c r="Y7" s="2"/>
    </row>
    <row r="8">
      <c r="A8" s="45" t="s">
        <v>66</v>
      </c>
      <c r="B8" s="46">
        <f t="shared" ref="B8:O8" si="10">B$4</f>
        <v>115</v>
      </c>
      <c r="C8" s="46">
        <f t="shared" si="10"/>
        <v>76</v>
      </c>
      <c r="D8" s="46">
        <f t="shared" si="10"/>
        <v>55</v>
      </c>
      <c r="E8" s="46">
        <f t="shared" si="10"/>
        <v>85</v>
      </c>
      <c r="F8" s="46">
        <f t="shared" si="10"/>
        <v>250</v>
      </c>
      <c r="G8" s="46">
        <f t="shared" si="10"/>
        <v>150</v>
      </c>
      <c r="H8" s="46">
        <f t="shared" si="10"/>
        <v>85</v>
      </c>
      <c r="I8" s="46">
        <f t="shared" si="10"/>
        <v>80</v>
      </c>
      <c r="J8" s="46">
        <f t="shared" si="10"/>
        <v>90</v>
      </c>
      <c r="K8" s="46">
        <f t="shared" si="10"/>
        <v>75</v>
      </c>
      <c r="L8" s="46">
        <f t="shared" si="10"/>
        <v>40</v>
      </c>
      <c r="M8" s="46">
        <f t="shared" si="10"/>
        <v>50</v>
      </c>
      <c r="N8" s="46">
        <f t="shared" si="10"/>
        <v>35</v>
      </c>
      <c r="O8" s="46">
        <f t="shared" si="10"/>
        <v>80</v>
      </c>
      <c r="P8" s="46">
        <f t="shared" si="2"/>
        <v>1266</v>
      </c>
      <c r="Q8" s="47">
        <v>3.89</v>
      </c>
      <c r="R8" s="47">
        <f t="shared" si="5"/>
        <v>4924.74</v>
      </c>
      <c r="S8" s="39">
        <v>3.6</v>
      </c>
      <c r="T8" s="39">
        <f t="shared" si="6"/>
        <v>4.248</v>
      </c>
      <c r="U8" s="39">
        <f t="shared" si="7"/>
        <v>5377.968</v>
      </c>
      <c r="V8" s="2"/>
      <c r="W8" s="2"/>
      <c r="X8" s="2"/>
      <c r="Y8" s="2"/>
    </row>
    <row r="9">
      <c r="A9" s="45" t="s">
        <v>71</v>
      </c>
      <c r="B9" s="46">
        <f t="shared" ref="B9:O9" si="11">B$4</f>
        <v>115</v>
      </c>
      <c r="C9" s="46">
        <f t="shared" si="11"/>
        <v>76</v>
      </c>
      <c r="D9" s="46">
        <f t="shared" si="11"/>
        <v>55</v>
      </c>
      <c r="E9" s="46">
        <f t="shared" si="11"/>
        <v>85</v>
      </c>
      <c r="F9" s="46">
        <f t="shared" si="11"/>
        <v>250</v>
      </c>
      <c r="G9" s="46">
        <f t="shared" si="11"/>
        <v>150</v>
      </c>
      <c r="H9" s="46">
        <f t="shared" si="11"/>
        <v>85</v>
      </c>
      <c r="I9" s="46">
        <f t="shared" si="11"/>
        <v>80</v>
      </c>
      <c r="J9" s="46">
        <f t="shared" si="11"/>
        <v>90</v>
      </c>
      <c r="K9" s="46">
        <f t="shared" si="11"/>
        <v>75</v>
      </c>
      <c r="L9" s="46">
        <f t="shared" si="11"/>
        <v>40</v>
      </c>
      <c r="M9" s="46">
        <f t="shared" si="11"/>
        <v>50</v>
      </c>
      <c r="N9" s="46">
        <f t="shared" si="11"/>
        <v>35</v>
      </c>
      <c r="O9" s="46">
        <f t="shared" si="11"/>
        <v>80</v>
      </c>
      <c r="P9" s="46">
        <f t="shared" si="2"/>
        <v>1266</v>
      </c>
      <c r="Q9" s="47">
        <v>15.34</v>
      </c>
      <c r="R9" s="47">
        <f t="shared" si="5"/>
        <v>19420.44</v>
      </c>
      <c r="S9" s="26"/>
      <c r="T9" s="39">
        <v>16.0</v>
      </c>
      <c r="U9" s="39">
        <f t="shared" si="7"/>
        <v>20256</v>
      </c>
      <c r="V9" s="2"/>
      <c r="W9" s="2"/>
      <c r="X9" s="2"/>
      <c r="Y9" s="2"/>
    </row>
    <row r="10">
      <c r="A10" s="45" t="s">
        <v>74</v>
      </c>
      <c r="B10" s="46">
        <f t="shared" ref="B10:O10" si="12">B$4</f>
        <v>115</v>
      </c>
      <c r="C10" s="46">
        <f t="shared" si="12"/>
        <v>76</v>
      </c>
      <c r="D10" s="46">
        <f t="shared" si="12"/>
        <v>55</v>
      </c>
      <c r="E10" s="46">
        <f t="shared" si="12"/>
        <v>85</v>
      </c>
      <c r="F10" s="46">
        <f t="shared" si="12"/>
        <v>250</v>
      </c>
      <c r="G10" s="46">
        <f t="shared" si="12"/>
        <v>150</v>
      </c>
      <c r="H10" s="46">
        <f t="shared" si="12"/>
        <v>85</v>
      </c>
      <c r="I10" s="46">
        <f t="shared" si="12"/>
        <v>80</v>
      </c>
      <c r="J10" s="46">
        <f t="shared" si="12"/>
        <v>90</v>
      </c>
      <c r="K10" s="46">
        <f t="shared" si="12"/>
        <v>75</v>
      </c>
      <c r="L10" s="46">
        <f t="shared" si="12"/>
        <v>40</v>
      </c>
      <c r="M10" s="46">
        <f t="shared" si="12"/>
        <v>50</v>
      </c>
      <c r="N10" s="46">
        <f t="shared" si="12"/>
        <v>35</v>
      </c>
      <c r="O10" s="46">
        <f t="shared" si="12"/>
        <v>80</v>
      </c>
      <c r="P10" s="46">
        <f t="shared" si="2"/>
        <v>1266</v>
      </c>
      <c r="Q10" s="47">
        <v>7.08</v>
      </c>
      <c r="R10" s="47">
        <f t="shared" si="5"/>
        <v>8963.28</v>
      </c>
      <c r="S10" s="39">
        <v>7.9</v>
      </c>
      <c r="T10" s="39">
        <f t="shared" ref="T10:T19" si="15">S10*1.18</f>
        <v>9.322</v>
      </c>
      <c r="U10" s="39">
        <f t="shared" si="7"/>
        <v>11801.652</v>
      </c>
      <c r="V10" s="2"/>
      <c r="W10" s="2"/>
      <c r="X10" s="2"/>
      <c r="Y10" s="2"/>
    </row>
    <row r="11">
      <c r="A11" s="45" t="s">
        <v>78</v>
      </c>
      <c r="B11" s="46">
        <f t="shared" ref="B11:L11" si="13">2*(B$4)</f>
        <v>230</v>
      </c>
      <c r="C11" s="46">
        <f t="shared" si="13"/>
        <v>152</v>
      </c>
      <c r="D11" s="46">
        <f t="shared" si="13"/>
        <v>110</v>
      </c>
      <c r="E11" s="46">
        <f t="shared" si="13"/>
        <v>170</v>
      </c>
      <c r="F11" s="46">
        <f t="shared" si="13"/>
        <v>500</v>
      </c>
      <c r="G11" s="46">
        <f t="shared" si="13"/>
        <v>300</v>
      </c>
      <c r="H11" s="46">
        <f t="shared" si="13"/>
        <v>170</v>
      </c>
      <c r="I11" s="46">
        <f t="shared" si="13"/>
        <v>160</v>
      </c>
      <c r="J11" s="46">
        <f t="shared" si="13"/>
        <v>180</v>
      </c>
      <c r="K11" s="46">
        <f t="shared" si="13"/>
        <v>150</v>
      </c>
      <c r="L11" s="46">
        <f t="shared" si="13"/>
        <v>80</v>
      </c>
      <c r="M11" s="46">
        <f t="shared" ref="M11:O11" si="14">M$4</f>
        <v>50</v>
      </c>
      <c r="N11" s="46">
        <f t="shared" si="14"/>
        <v>35</v>
      </c>
      <c r="O11" s="46">
        <f t="shared" si="14"/>
        <v>80</v>
      </c>
      <c r="P11" s="46">
        <f t="shared" si="2"/>
        <v>2367</v>
      </c>
      <c r="Q11" s="47">
        <v>7.08</v>
      </c>
      <c r="R11" s="47">
        <f t="shared" si="5"/>
        <v>16758.36</v>
      </c>
      <c r="S11" s="39">
        <v>5.9</v>
      </c>
      <c r="T11" s="39">
        <f t="shared" si="15"/>
        <v>6.962</v>
      </c>
      <c r="U11" s="39">
        <f t="shared" si="7"/>
        <v>16479.054</v>
      </c>
      <c r="V11" s="2"/>
      <c r="W11" s="2"/>
      <c r="X11" s="2"/>
      <c r="Y11" s="2"/>
    </row>
    <row r="12">
      <c r="A12" s="45" t="s">
        <v>85</v>
      </c>
      <c r="B12" s="46">
        <f t="shared" ref="B12:O12" si="16">B$4</f>
        <v>115</v>
      </c>
      <c r="C12" s="46">
        <f t="shared" si="16"/>
        <v>76</v>
      </c>
      <c r="D12" s="46">
        <f t="shared" si="16"/>
        <v>55</v>
      </c>
      <c r="E12" s="46">
        <f t="shared" si="16"/>
        <v>85</v>
      </c>
      <c r="F12" s="46">
        <f t="shared" si="16"/>
        <v>250</v>
      </c>
      <c r="G12" s="46">
        <f t="shared" si="16"/>
        <v>150</v>
      </c>
      <c r="H12" s="46">
        <f t="shared" si="16"/>
        <v>85</v>
      </c>
      <c r="I12" s="46">
        <f t="shared" si="16"/>
        <v>80</v>
      </c>
      <c r="J12" s="46">
        <f t="shared" si="16"/>
        <v>90</v>
      </c>
      <c r="K12" s="46">
        <f t="shared" si="16"/>
        <v>75</v>
      </c>
      <c r="L12" s="46">
        <f t="shared" si="16"/>
        <v>40</v>
      </c>
      <c r="M12" s="46">
        <f t="shared" si="16"/>
        <v>50</v>
      </c>
      <c r="N12" s="46">
        <f t="shared" si="16"/>
        <v>35</v>
      </c>
      <c r="O12" s="46">
        <f t="shared" si="16"/>
        <v>80</v>
      </c>
      <c r="P12" s="46">
        <f t="shared" si="2"/>
        <v>1266</v>
      </c>
      <c r="Q12" s="47">
        <v>6.49</v>
      </c>
      <c r="R12" s="47">
        <f t="shared" si="5"/>
        <v>8216.34</v>
      </c>
      <c r="S12" s="39">
        <v>5.9</v>
      </c>
      <c r="T12" s="39">
        <f t="shared" si="15"/>
        <v>6.962</v>
      </c>
      <c r="U12" s="39">
        <f t="shared" si="7"/>
        <v>8813.892</v>
      </c>
      <c r="V12" s="2"/>
      <c r="W12" s="2"/>
      <c r="X12" s="2"/>
      <c r="Y12" s="2"/>
    </row>
    <row r="13">
      <c r="A13" s="45" t="s">
        <v>86</v>
      </c>
      <c r="B13" s="46">
        <v>0.0</v>
      </c>
      <c r="C13" s="46">
        <v>0.0</v>
      </c>
      <c r="D13" s="46">
        <v>0.0</v>
      </c>
      <c r="E13" s="46">
        <v>0.0</v>
      </c>
      <c r="F13" s="46">
        <v>0.0</v>
      </c>
      <c r="G13" s="46">
        <v>0.0</v>
      </c>
      <c r="H13" s="46">
        <f>H$4</f>
        <v>85</v>
      </c>
      <c r="I13" s="46">
        <v>0.0</v>
      </c>
      <c r="J13" s="46">
        <v>0.0</v>
      </c>
      <c r="K13" s="46">
        <v>0.0</v>
      </c>
      <c r="L13" s="46">
        <v>0.0</v>
      </c>
      <c r="M13" s="46">
        <v>0.0</v>
      </c>
      <c r="N13" s="46">
        <v>0.0</v>
      </c>
      <c r="O13" s="46">
        <v>0.0</v>
      </c>
      <c r="P13" s="46">
        <f t="shared" si="2"/>
        <v>85</v>
      </c>
      <c r="Q13" s="47">
        <v>4.13</v>
      </c>
      <c r="R13" s="47">
        <f t="shared" si="5"/>
        <v>351.05</v>
      </c>
      <c r="S13" s="39">
        <v>4.5</v>
      </c>
      <c r="T13" s="39">
        <f t="shared" si="15"/>
        <v>5.31</v>
      </c>
      <c r="U13" s="39">
        <f t="shared" si="7"/>
        <v>451.35</v>
      </c>
      <c r="V13" s="2"/>
      <c r="W13" s="2"/>
      <c r="X13" s="2"/>
      <c r="Y13" s="2"/>
    </row>
    <row r="14">
      <c r="A14" s="45" t="s">
        <v>87</v>
      </c>
      <c r="B14" s="56"/>
      <c r="C14" s="57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46">
        <f t="shared" si="2"/>
        <v>0</v>
      </c>
      <c r="Q14" s="47">
        <v>6.14</v>
      </c>
      <c r="R14" s="47">
        <f t="shared" si="5"/>
        <v>0</v>
      </c>
      <c r="S14" s="39">
        <v>7.9</v>
      </c>
      <c r="T14" s="39">
        <f t="shared" si="15"/>
        <v>9.322</v>
      </c>
      <c r="U14" s="39">
        <f t="shared" si="7"/>
        <v>0</v>
      </c>
      <c r="V14" s="2"/>
      <c r="W14" s="2"/>
      <c r="X14" s="2"/>
      <c r="Y14" s="2"/>
    </row>
    <row r="15">
      <c r="A15" s="45" t="s">
        <v>88</v>
      </c>
      <c r="B15" s="56"/>
      <c r="C15" s="57"/>
      <c r="D15" s="56"/>
      <c r="E15" s="56"/>
      <c r="F15" s="56"/>
      <c r="G15" s="56"/>
      <c r="H15" s="46">
        <f>H$4</f>
        <v>85</v>
      </c>
      <c r="I15" s="56"/>
      <c r="J15" s="56"/>
      <c r="K15" s="56"/>
      <c r="L15" s="56"/>
      <c r="M15" s="56"/>
      <c r="N15" s="56"/>
      <c r="O15" s="56"/>
      <c r="P15" s="46">
        <f t="shared" si="2"/>
        <v>85</v>
      </c>
      <c r="Q15" s="47">
        <v>6.49</v>
      </c>
      <c r="R15" s="47">
        <f t="shared" si="5"/>
        <v>551.65</v>
      </c>
      <c r="S15" s="39">
        <v>5.8</v>
      </c>
      <c r="T15" s="39">
        <f t="shared" si="15"/>
        <v>6.844</v>
      </c>
      <c r="U15" s="39">
        <f t="shared" si="7"/>
        <v>581.74</v>
      </c>
      <c r="V15" s="2"/>
      <c r="W15" s="2"/>
      <c r="X15" s="2"/>
      <c r="Y15" s="2"/>
    </row>
    <row r="16">
      <c r="A16" s="45" t="s">
        <v>89</v>
      </c>
      <c r="B16" s="46">
        <f t="shared" ref="B16:O16" si="17">B$4</f>
        <v>115</v>
      </c>
      <c r="C16" s="46">
        <f t="shared" si="17"/>
        <v>76</v>
      </c>
      <c r="D16" s="46">
        <f t="shared" si="17"/>
        <v>55</v>
      </c>
      <c r="E16" s="46">
        <f t="shared" si="17"/>
        <v>85</v>
      </c>
      <c r="F16" s="46">
        <f t="shared" si="17"/>
        <v>250</v>
      </c>
      <c r="G16" s="46">
        <f t="shared" si="17"/>
        <v>150</v>
      </c>
      <c r="H16" s="46">
        <f t="shared" si="17"/>
        <v>85</v>
      </c>
      <c r="I16" s="46">
        <f t="shared" si="17"/>
        <v>80</v>
      </c>
      <c r="J16" s="46">
        <f t="shared" si="17"/>
        <v>90</v>
      </c>
      <c r="K16" s="46">
        <f t="shared" si="17"/>
        <v>75</v>
      </c>
      <c r="L16" s="46">
        <f t="shared" si="17"/>
        <v>40</v>
      </c>
      <c r="M16" s="46">
        <f t="shared" si="17"/>
        <v>50</v>
      </c>
      <c r="N16" s="46">
        <f t="shared" si="17"/>
        <v>35</v>
      </c>
      <c r="O16" s="46">
        <f t="shared" si="17"/>
        <v>80</v>
      </c>
      <c r="P16" s="46">
        <f t="shared" si="2"/>
        <v>1266</v>
      </c>
      <c r="Q16" s="47">
        <v>4.6</v>
      </c>
      <c r="R16" s="47">
        <f t="shared" si="5"/>
        <v>5823.6</v>
      </c>
      <c r="S16" s="39">
        <v>7.5</v>
      </c>
      <c r="T16" s="39">
        <f t="shared" si="15"/>
        <v>8.85</v>
      </c>
      <c r="U16" s="39">
        <f t="shared" si="7"/>
        <v>11204.1</v>
      </c>
      <c r="V16" s="2"/>
      <c r="W16" s="2"/>
      <c r="X16" s="2"/>
      <c r="Y16" s="2"/>
    </row>
    <row r="17">
      <c r="A17" s="45" t="s">
        <v>90</v>
      </c>
      <c r="B17" s="46">
        <f t="shared" ref="B17:O17" si="18">2*(B$4)</f>
        <v>230</v>
      </c>
      <c r="C17" s="46">
        <f t="shared" si="18"/>
        <v>152</v>
      </c>
      <c r="D17" s="46">
        <f t="shared" si="18"/>
        <v>110</v>
      </c>
      <c r="E17" s="46">
        <f t="shared" si="18"/>
        <v>170</v>
      </c>
      <c r="F17" s="46">
        <f t="shared" si="18"/>
        <v>500</v>
      </c>
      <c r="G17" s="46">
        <f t="shared" si="18"/>
        <v>300</v>
      </c>
      <c r="H17" s="46">
        <f t="shared" si="18"/>
        <v>170</v>
      </c>
      <c r="I17" s="46">
        <f t="shared" si="18"/>
        <v>160</v>
      </c>
      <c r="J17" s="46">
        <f t="shared" si="18"/>
        <v>180</v>
      </c>
      <c r="K17" s="46">
        <f t="shared" si="18"/>
        <v>150</v>
      </c>
      <c r="L17" s="46">
        <f t="shared" si="18"/>
        <v>80</v>
      </c>
      <c r="M17" s="46">
        <f t="shared" si="18"/>
        <v>100</v>
      </c>
      <c r="N17" s="46">
        <f t="shared" si="18"/>
        <v>70</v>
      </c>
      <c r="O17" s="46">
        <f t="shared" si="18"/>
        <v>160</v>
      </c>
      <c r="P17" s="46">
        <f t="shared" si="2"/>
        <v>2532</v>
      </c>
      <c r="Q17" s="47">
        <f>10.38+0.26</f>
        <v>10.64</v>
      </c>
      <c r="R17" s="47">
        <f t="shared" si="5"/>
        <v>26940.48</v>
      </c>
      <c r="S17" s="39">
        <v>9.9</v>
      </c>
      <c r="T17" s="39">
        <f t="shared" si="15"/>
        <v>11.682</v>
      </c>
      <c r="U17" s="39">
        <f t="shared" si="7"/>
        <v>29578.824</v>
      </c>
      <c r="V17" s="2"/>
      <c r="W17" s="2"/>
      <c r="X17" s="2"/>
      <c r="Y17" s="2"/>
    </row>
    <row r="18">
      <c r="A18" s="45" t="s">
        <v>91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46">
        <f t="shared" si="2"/>
        <v>0</v>
      </c>
      <c r="Q18" s="47">
        <v>0.0</v>
      </c>
      <c r="R18" s="47">
        <f t="shared" si="5"/>
        <v>0</v>
      </c>
      <c r="S18" s="26"/>
      <c r="T18" s="39">
        <f t="shared" si="15"/>
        <v>0</v>
      </c>
      <c r="U18" s="39">
        <f t="shared" si="7"/>
        <v>0</v>
      </c>
      <c r="V18" s="2"/>
      <c r="W18" s="2"/>
      <c r="X18" s="2"/>
      <c r="Y18" s="2"/>
    </row>
    <row r="19">
      <c r="A19" s="45" t="s">
        <v>92</v>
      </c>
      <c r="B19" s="46">
        <f t="shared" ref="B19:O19" si="19">B$4</f>
        <v>115</v>
      </c>
      <c r="C19" s="46">
        <f t="shared" si="19"/>
        <v>76</v>
      </c>
      <c r="D19" s="46">
        <f t="shared" si="19"/>
        <v>55</v>
      </c>
      <c r="E19" s="46">
        <f t="shared" si="19"/>
        <v>85</v>
      </c>
      <c r="F19" s="46">
        <f t="shared" si="19"/>
        <v>250</v>
      </c>
      <c r="G19" s="46">
        <f t="shared" si="19"/>
        <v>150</v>
      </c>
      <c r="H19" s="46">
        <f t="shared" si="19"/>
        <v>85</v>
      </c>
      <c r="I19" s="46">
        <f t="shared" si="19"/>
        <v>80</v>
      </c>
      <c r="J19" s="46">
        <f t="shared" si="19"/>
        <v>90</v>
      </c>
      <c r="K19" s="46">
        <f t="shared" si="19"/>
        <v>75</v>
      </c>
      <c r="L19" s="46">
        <f t="shared" si="19"/>
        <v>40</v>
      </c>
      <c r="M19" s="46">
        <f t="shared" si="19"/>
        <v>50</v>
      </c>
      <c r="N19" s="46">
        <f t="shared" si="19"/>
        <v>35</v>
      </c>
      <c r="O19" s="46">
        <f t="shared" si="19"/>
        <v>80</v>
      </c>
      <c r="P19" s="46">
        <f t="shared" si="2"/>
        <v>1266</v>
      </c>
      <c r="Q19" s="47">
        <v>4.25</v>
      </c>
      <c r="R19" s="47">
        <f t="shared" si="5"/>
        <v>5380.5</v>
      </c>
      <c r="S19" s="39">
        <v>4.4</v>
      </c>
      <c r="T19" s="39">
        <f t="shared" si="15"/>
        <v>5.192</v>
      </c>
      <c r="U19" s="39">
        <f t="shared" si="7"/>
        <v>6573.072</v>
      </c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67" t="s">
        <v>99</v>
      </c>
      <c r="Q20" s="64"/>
      <c r="R20" s="67">
        <f>SUM(R4:R19)</f>
        <v>120476.74</v>
      </c>
      <c r="S20" s="2"/>
      <c r="T20" s="2"/>
      <c r="U20" s="67">
        <f>SUM(U4:U19)</f>
        <v>136746.426</v>
      </c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64"/>
      <c r="Q21" s="64"/>
      <c r="R21" s="64"/>
      <c r="S21" s="2"/>
      <c r="T21" s="2"/>
      <c r="U21" s="64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64"/>
      <c r="Q22" s="64"/>
      <c r="R22" s="64"/>
      <c r="S22" s="2"/>
      <c r="T22" s="2"/>
      <c r="U22" s="64"/>
      <c r="V22" s="2"/>
      <c r="W22" s="2"/>
      <c r="X22" s="2"/>
      <c r="Y22" s="2"/>
    </row>
    <row r="23">
      <c r="A23" s="2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2"/>
      <c r="N23" s="2"/>
      <c r="O23" s="2"/>
      <c r="P23" s="67" t="s">
        <v>100</v>
      </c>
      <c r="Q23" s="64"/>
      <c r="R23" s="67">
        <v>8000.0</v>
      </c>
      <c r="S23" s="2"/>
      <c r="T23" s="2"/>
      <c r="U23" s="67">
        <v>8000.0</v>
      </c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70"/>
      <c r="L24" s="70"/>
      <c r="M24" s="70"/>
      <c r="N24" s="2"/>
      <c r="O24" s="2"/>
      <c r="P24" s="64"/>
      <c r="Q24" s="64"/>
      <c r="R24" s="64"/>
      <c r="S24" s="2"/>
      <c r="T24" s="2"/>
      <c r="U24" s="64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70"/>
      <c r="L25" s="70"/>
      <c r="M25" s="70"/>
      <c r="N25" s="2"/>
      <c r="O25" s="2"/>
      <c r="P25" s="64"/>
      <c r="Q25" s="64"/>
      <c r="R25" s="64"/>
      <c r="S25" s="2"/>
      <c r="T25" s="2"/>
      <c r="U25" s="64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70"/>
      <c r="L26" s="70"/>
      <c r="M26" s="70"/>
      <c r="N26" s="2"/>
      <c r="O26" s="2"/>
      <c r="P26" s="64"/>
      <c r="Q26" s="71" t="s">
        <v>101</v>
      </c>
      <c r="R26" s="71" t="s">
        <v>19</v>
      </c>
      <c r="S26" s="2"/>
      <c r="T26" s="2"/>
      <c r="U26" s="64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70"/>
      <c r="L27" s="70"/>
      <c r="M27" s="70"/>
      <c r="N27" s="2"/>
      <c r="O27" s="2"/>
      <c r="P27" s="64"/>
      <c r="Q27" s="72">
        <f>R27/P4</f>
        <v>101.4824171</v>
      </c>
      <c r="R27" s="71">
        <f>SUM(R20:R26)</f>
        <v>128476.74</v>
      </c>
      <c r="S27" s="2"/>
      <c r="T27" s="2"/>
      <c r="U27" s="71">
        <f>SUM(U20:U25)</f>
        <v>144746.426</v>
      </c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70"/>
      <c r="L28" s="70"/>
      <c r="M28" s="70"/>
      <c r="N28" s="2"/>
      <c r="O28" s="2"/>
      <c r="P28" s="2"/>
      <c r="Q28" s="2"/>
      <c r="R28" s="2"/>
      <c r="S28" s="2"/>
      <c r="T28" s="2"/>
      <c r="U28" s="13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70"/>
      <c r="L29" s="70"/>
      <c r="M29" s="70"/>
      <c r="N29" s="2"/>
      <c r="O29" s="2"/>
      <c r="P29" s="2"/>
      <c r="Q29" s="2"/>
      <c r="R29" s="2"/>
      <c r="S29" s="2"/>
      <c r="T29" s="2"/>
      <c r="U29" s="13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13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70"/>
      <c r="N31" s="2"/>
      <c r="O31" s="2"/>
      <c r="P31" s="2"/>
      <c r="Q31" s="73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73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73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/>
  </sheetViews>
  <sheetFormatPr customHeight="1" defaultColWidth="12.63" defaultRowHeight="15.0"/>
  <cols>
    <col customWidth="1" min="2" max="2" width="25.13"/>
    <col customWidth="1" min="3" max="3" width="50.88"/>
    <col customWidth="1" hidden="1" min="4" max="4" width="22.63"/>
    <col customWidth="1" hidden="1" min="5" max="5" width="16.13"/>
    <col customWidth="1" hidden="1" min="6" max="7" width="17.75"/>
    <col customWidth="1" hidden="1" min="8" max="8" width="15.63"/>
    <col customWidth="1" min="11" max="11" width="26.5"/>
  </cols>
  <sheetData>
    <row r="1" ht="15.75" customHeight="1">
      <c r="A1" s="3"/>
      <c r="B1" s="4"/>
      <c r="C1" s="4"/>
      <c r="D1" s="4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15.75" customHeight="1">
      <c r="A2" s="9"/>
      <c r="B2" s="4"/>
      <c r="C2" s="4"/>
      <c r="D2" s="4"/>
      <c r="E2" s="4"/>
      <c r="F2" s="5"/>
      <c r="G2" s="5"/>
      <c r="H2" s="5"/>
      <c r="I2" s="10" t="s">
        <v>10</v>
      </c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5.75" customHeight="1">
      <c r="A3" s="15" t="s">
        <v>20</v>
      </c>
      <c r="B3" s="15" t="s">
        <v>21</v>
      </c>
      <c r="C3" s="17" t="s">
        <v>22</v>
      </c>
      <c r="D3" s="18" t="s">
        <v>23</v>
      </c>
      <c r="E3" s="18" t="s">
        <v>24</v>
      </c>
      <c r="F3" s="19" t="s">
        <v>25</v>
      </c>
      <c r="G3" s="19" t="s">
        <v>26</v>
      </c>
      <c r="H3" s="19" t="s">
        <v>27</v>
      </c>
      <c r="I3" s="20" t="s">
        <v>28</v>
      </c>
      <c r="J3" s="21"/>
      <c r="K3" s="20" t="s">
        <v>30</v>
      </c>
      <c r="L3" s="21"/>
      <c r="M3" s="20" t="s">
        <v>31</v>
      </c>
      <c r="N3" s="21"/>
      <c r="O3" s="20" t="s">
        <v>32</v>
      </c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ht="15.75" customHeight="1">
      <c r="A4" s="17" t="s">
        <v>1</v>
      </c>
      <c r="B4" s="25" t="s">
        <v>36</v>
      </c>
      <c r="C4" s="27" t="s">
        <v>38</v>
      </c>
      <c r="D4" s="28"/>
      <c r="E4" s="29"/>
      <c r="F4" s="30"/>
      <c r="G4" s="30"/>
      <c r="H4" s="30"/>
      <c r="I4" s="33" t="s">
        <v>40</v>
      </c>
      <c r="J4" s="35" t="s">
        <v>41</v>
      </c>
      <c r="K4" s="33" t="s">
        <v>42</v>
      </c>
      <c r="L4" s="35" t="s">
        <v>41</v>
      </c>
      <c r="M4" s="33" t="s">
        <v>43</v>
      </c>
      <c r="N4" s="35" t="s">
        <v>41</v>
      </c>
      <c r="O4" s="33" t="s">
        <v>44</v>
      </c>
      <c r="P4" s="35" t="s">
        <v>41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14.25" customHeight="1">
      <c r="A5" s="17" t="s">
        <v>2</v>
      </c>
      <c r="B5" s="36" t="s">
        <v>45</v>
      </c>
      <c r="C5" s="27" t="s">
        <v>46</v>
      </c>
      <c r="D5" s="28"/>
      <c r="E5" s="29"/>
      <c r="F5" s="37"/>
      <c r="G5" s="38"/>
      <c r="H5" s="37"/>
      <c r="I5" s="33" t="s">
        <v>40</v>
      </c>
      <c r="J5" s="35" t="s">
        <v>41</v>
      </c>
      <c r="K5" s="33" t="s">
        <v>47</v>
      </c>
      <c r="L5" s="35" t="s">
        <v>41</v>
      </c>
      <c r="M5" s="33" t="s">
        <v>43</v>
      </c>
      <c r="N5" s="35" t="s">
        <v>41</v>
      </c>
      <c r="O5" s="33" t="s">
        <v>44</v>
      </c>
      <c r="P5" s="35" t="s">
        <v>41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15.75" customHeight="1">
      <c r="A6" s="40" t="s">
        <v>48</v>
      </c>
      <c r="B6" s="42" t="s">
        <v>49</v>
      </c>
      <c r="C6" s="43" t="s">
        <v>50</v>
      </c>
      <c r="D6" s="28"/>
      <c r="E6" s="29"/>
      <c r="F6" s="30"/>
      <c r="G6" s="44"/>
      <c r="H6" s="44"/>
      <c r="I6" s="33" t="s">
        <v>40</v>
      </c>
      <c r="J6" s="35" t="s">
        <v>41</v>
      </c>
      <c r="K6" s="5" t="s">
        <v>51</v>
      </c>
      <c r="L6" s="5" t="s">
        <v>51</v>
      </c>
      <c r="M6" s="33" t="s">
        <v>43</v>
      </c>
      <c r="N6" s="35" t="s">
        <v>41</v>
      </c>
      <c r="O6" s="5" t="s">
        <v>51</v>
      </c>
      <c r="P6" s="5" t="s">
        <v>51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ht="15.75" customHeight="1">
      <c r="A7" s="17" t="s">
        <v>3</v>
      </c>
      <c r="B7" s="25" t="s">
        <v>53</v>
      </c>
      <c r="C7" s="27" t="s">
        <v>54</v>
      </c>
      <c r="D7" s="28"/>
      <c r="E7" s="29"/>
      <c r="F7" s="37"/>
      <c r="G7" s="37"/>
      <c r="H7" s="30"/>
      <c r="I7" s="33" t="s">
        <v>40</v>
      </c>
      <c r="J7" s="35" t="s">
        <v>41</v>
      </c>
      <c r="K7" s="33" t="s">
        <v>55</v>
      </c>
      <c r="L7" s="35" t="s">
        <v>41</v>
      </c>
      <c r="M7" s="33" t="s">
        <v>43</v>
      </c>
      <c r="N7" s="35" t="s">
        <v>41</v>
      </c>
      <c r="O7" s="33" t="s">
        <v>44</v>
      </c>
      <c r="P7" s="35" t="s">
        <v>41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15.75" customHeight="1">
      <c r="A8" s="17" t="s">
        <v>4</v>
      </c>
      <c r="B8" s="25" t="s">
        <v>56</v>
      </c>
      <c r="C8" s="27" t="s">
        <v>57</v>
      </c>
      <c r="D8" s="28"/>
      <c r="E8" s="29"/>
      <c r="F8" s="30"/>
      <c r="G8" s="44"/>
      <c r="H8" s="30"/>
      <c r="I8" s="33" t="s">
        <v>40</v>
      </c>
      <c r="J8" s="35" t="s">
        <v>41</v>
      </c>
      <c r="K8" s="33" t="s">
        <v>42</v>
      </c>
      <c r="L8" s="35" t="s">
        <v>41</v>
      </c>
      <c r="M8" s="33" t="s">
        <v>43</v>
      </c>
      <c r="N8" s="35" t="s">
        <v>41</v>
      </c>
      <c r="O8" s="33" t="s">
        <v>44</v>
      </c>
      <c r="P8" s="35" t="s">
        <v>41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15.75" customHeight="1">
      <c r="A9" s="17" t="s">
        <v>58</v>
      </c>
      <c r="B9" s="25" t="s">
        <v>59</v>
      </c>
      <c r="C9" s="27" t="s">
        <v>60</v>
      </c>
      <c r="D9" s="28"/>
      <c r="E9" s="29"/>
      <c r="F9" s="30"/>
      <c r="G9" s="30"/>
      <c r="H9" s="30"/>
      <c r="I9" s="33" t="s">
        <v>40</v>
      </c>
      <c r="J9" s="35" t="s">
        <v>41</v>
      </c>
      <c r="K9" s="33" t="s">
        <v>47</v>
      </c>
      <c r="L9" s="35" t="s">
        <v>41</v>
      </c>
      <c r="M9" s="33" t="s">
        <v>43</v>
      </c>
      <c r="N9" s="35" t="s">
        <v>41</v>
      </c>
      <c r="O9" s="33" t="s">
        <v>44</v>
      </c>
      <c r="P9" s="35" t="s">
        <v>41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15.75" customHeight="1">
      <c r="A10" s="17" t="s">
        <v>6</v>
      </c>
      <c r="B10" s="25" t="s">
        <v>62</v>
      </c>
      <c r="C10" s="27" t="s">
        <v>63</v>
      </c>
      <c r="D10" s="28"/>
      <c r="E10" s="29"/>
      <c r="F10" s="37"/>
      <c r="G10" s="37"/>
      <c r="H10" s="37"/>
      <c r="I10" s="33" t="s">
        <v>40</v>
      </c>
      <c r="J10" s="35" t="s">
        <v>41</v>
      </c>
      <c r="K10" s="5" t="s">
        <v>51</v>
      </c>
      <c r="L10" s="5" t="s">
        <v>51</v>
      </c>
      <c r="M10" s="33" t="s">
        <v>43</v>
      </c>
      <c r="N10" s="35" t="s">
        <v>41</v>
      </c>
      <c r="O10" s="33" t="s">
        <v>44</v>
      </c>
      <c r="P10" s="35" t="s">
        <v>41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ht="15.75" customHeight="1">
      <c r="A11" s="17" t="s">
        <v>7</v>
      </c>
      <c r="B11" s="25" t="s">
        <v>64</v>
      </c>
      <c r="C11" s="27" t="s">
        <v>65</v>
      </c>
      <c r="D11" s="28"/>
      <c r="E11" s="29"/>
      <c r="F11" s="30"/>
      <c r="G11" s="44"/>
      <c r="H11" s="44"/>
      <c r="I11" s="33" t="s">
        <v>40</v>
      </c>
      <c r="J11" s="35" t="s">
        <v>41</v>
      </c>
      <c r="K11" s="33" t="s">
        <v>55</v>
      </c>
      <c r="L11" s="35" t="s">
        <v>41</v>
      </c>
      <c r="M11" s="33" t="s">
        <v>43</v>
      </c>
      <c r="N11" s="35" t="s">
        <v>41</v>
      </c>
      <c r="O11" s="33" t="s">
        <v>44</v>
      </c>
      <c r="P11" s="35" t="s">
        <v>41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48"/>
      <c r="B12" s="48"/>
      <c r="C12" s="49"/>
      <c r="D12" s="48"/>
      <c r="E12" s="48"/>
      <c r="F12" s="48"/>
      <c r="G12" s="48"/>
      <c r="H12" s="48"/>
    </row>
    <row r="13" ht="15.75" customHeight="1">
      <c r="A13" s="40" t="s">
        <v>9</v>
      </c>
      <c r="B13" s="42" t="s">
        <v>67</v>
      </c>
      <c r="C13" s="43" t="s">
        <v>68</v>
      </c>
      <c r="D13" s="29"/>
      <c r="E13" s="29"/>
      <c r="F13" s="30"/>
      <c r="G13" s="50"/>
      <c r="H13" s="50"/>
      <c r="I13" s="33" t="s">
        <v>40</v>
      </c>
      <c r="J13" s="35" t="s">
        <v>41</v>
      </c>
      <c r="K13" s="5"/>
      <c r="L13" s="5"/>
      <c r="M13" s="5"/>
      <c r="N13" s="5"/>
      <c r="O13" s="5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ht="15.75" customHeight="1">
      <c r="A14" s="40" t="s">
        <v>11</v>
      </c>
      <c r="B14" s="42" t="s">
        <v>69</v>
      </c>
      <c r="C14" s="43" t="s">
        <v>70</v>
      </c>
      <c r="D14" s="28"/>
      <c r="E14" s="29"/>
      <c r="F14" s="30"/>
      <c r="G14" s="50"/>
      <c r="H14" s="44"/>
      <c r="I14" s="33" t="s">
        <v>40</v>
      </c>
      <c r="J14" s="35" t="s">
        <v>41</v>
      </c>
      <c r="K14" s="5"/>
      <c r="L14" s="5"/>
      <c r="M14" s="5"/>
      <c r="N14" s="5"/>
      <c r="O14" s="5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ht="15.75" customHeight="1">
      <c r="A15" s="40" t="s">
        <v>12</v>
      </c>
      <c r="B15" s="42" t="s">
        <v>72</v>
      </c>
      <c r="C15" s="43" t="s">
        <v>73</v>
      </c>
      <c r="D15" s="28"/>
      <c r="E15" s="29"/>
      <c r="F15" s="30"/>
      <c r="G15" s="44"/>
      <c r="H15" s="44"/>
      <c r="I15" s="33" t="s">
        <v>40</v>
      </c>
      <c r="J15" s="35" t="s">
        <v>41</v>
      </c>
      <c r="K15" s="5"/>
      <c r="L15" s="5"/>
      <c r="M15" s="5"/>
      <c r="N15" s="5"/>
      <c r="O15" s="5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ht="15.75" customHeight="1">
      <c r="A16" s="28"/>
      <c r="B16" s="51"/>
      <c r="C16" s="52"/>
      <c r="D16" s="51"/>
      <c r="E16" s="51"/>
      <c r="F16" s="30"/>
      <c r="G16" s="30"/>
      <c r="H16" s="30"/>
      <c r="I16" s="5"/>
      <c r="J16" s="5"/>
      <c r="K16" s="5"/>
      <c r="L16" s="5"/>
      <c r="M16" s="5"/>
      <c r="N16" s="5"/>
      <c r="O16" s="5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ht="15.75" customHeight="1">
      <c r="A17" s="28"/>
      <c r="B17" s="51"/>
      <c r="C17" s="52"/>
      <c r="D17" s="51"/>
      <c r="E17" s="51"/>
      <c r="F17" s="30"/>
      <c r="G17" s="30"/>
      <c r="H17" s="30"/>
      <c r="I17" s="5"/>
      <c r="J17" s="5"/>
      <c r="K17" s="5"/>
      <c r="L17" s="5"/>
      <c r="M17" s="5"/>
      <c r="N17" s="5"/>
      <c r="O17" s="5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15.75" customHeight="1">
      <c r="A18" s="40" t="s">
        <v>75</v>
      </c>
      <c r="B18" s="42" t="s">
        <v>76</v>
      </c>
      <c r="C18" s="43" t="s">
        <v>77</v>
      </c>
      <c r="D18" s="28"/>
      <c r="E18" s="29"/>
      <c r="F18" s="30"/>
      <c r="G18" s="30"/>
      <c r="H18" s="30"/>
      <c r="I18" s="33" t="s">
        <v>40</v>
      </c>
      <c r="J18" s="35" t="s">
        <v>41</v>
      </c>
      <c r="K18" s="5"/>
      <c r="L18" s="5"/>
      <c r="M18" s="33" t="s">
        <v>43</v>
      </c>
      <c r="N18" s="35" t="s">
        <v>41</v>
      </c>
      <c r="O18" s="5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ht="15.75" customHeight="1">
      <c r="A19" s="17" t="s">
        <v>79</v>
      </c>
      <c r="B19" s="25" t="s">
        <v>80</v>
      </c>
      <c r="C19" s="53" t="s">
        <v>81</v>
      </c>
      <c r="D19" s="28"/>
      <c r="E19" s="29"/>
      <c r="F19" s="30"/>
      <c r="G19" s="30"/>
      <c r="H19" s="30"/>
      <c r="I19" s="33" t="s">
        <v>40</v>
      </c>
      <c r="J19" s="35" t="s">
        <v>41</v>
      </c>
      <c r="K19" s="5"/>
      <c r="L19" s="5"/>
      <c r="M19" s="33" t="s">
        <v>43</v>
      </c>
      <c r="N19" s="35" t="s">
        <v>41</v>
      </c>
      <c r="O19" s="5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15.75" customHeight="1">
      <c r="A20" s="40" t="s">
        <v>82</v>
      </c>
      <c r="B20" s="54" t="s">
        <v>83</v>
      </c>
      <c r="C20" s="43" t="s">
        <v>84</v>
      </c>
      <c r="D20" s="28"/>
      <c r="E20" s="29"/>
      <c r="F20" s="30"/>
      <c r="G20" s="30"/>
      <c r="H20" s="30"/>
      <c r="I20" s="33" t="s">
        <v>40</v>
      </c>
      <c r="J20" s="35" t="s">
        <v>41</v>
      </c>
      <c r="K20" s="5"/>
      <c r="L20" s="5"/>
      <c r="M20" s="33" t="s">
        <v>43</v>
      </c>
      <c r="N20" s="35" t="s">
        <v>41</v>
      </c>
      <c r="O20" s="5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>
      <c r="A21" s="5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A22" s="5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>
      <c r="A23" s="55"/>
      <c r="B23" s="5"/>
      <c r="C23" s="5"/>
      <c r="D23" s="5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>
      <c r="A24" s="5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>
      <c r="A25" s="5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A26" s="5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A27" s="5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75" customHeight="1">
      <c r="A28" s="5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5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>
      <c r="A30" s="5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>
      <c r="A31" s="5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5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>
      <c r="A33" s="5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5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>
      <c r="A35" s="5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5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>
      <c r="A37" s="5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55"/>
      <c r="B38" s="5"/>
      <c r="C38" s="5"/>
      <c r="D38" s="5"/>
      <c r="E38" s="5"/>
      <c r="F38" s="55"/>
      <c r="G38" s="55"/>
      <c r="H38" s="5"/>
      <c r="I38" s="5"/>
      <c r="J38" s="5"/>
      <c r="K38" s="5"/>
      <c r="L38" s="5"/>
      <c r="M38" s="5"/>
      <c r="N38" s="5"/>
      <c r="O38" s="5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75" customHeight="1">
      <c r="A39" s="5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>
      <c r="A40" s="5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75" customHeight="1">
      <c r="A41" s="5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>
      <c r="A42" s="5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>
      <c r="A43" s="5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75" customHeight="1">
      <c r="A44" s="5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>
      <c r="A45" s="5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75" customHeight="1">
      <c r="A46" s="5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>
      <c r="A47" s="5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75" customHeight="1">
      <c r="A48" s="5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>
      <c r="A49" s="5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5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5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5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5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5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5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5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5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5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5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5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5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5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>
      <c r="A63" s="5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>
      <c r="A64" s="5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5.75" customHeight="1">
      <c r="A65" s="5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>
      <c r="A66" s="5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>
      <c r="A67" s="5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5.75" customHeight="1">
      <c r="A68" s="5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75" customHeight="1">
      <c r="A69" s="5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5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5.75" customHeight="1">
      <c r="A71" s="5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>
      <c r="A72" s="5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5.75" customHeight="1">
      <c r="A73" s="5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>
      <c r="A74" s="5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75" customHeight="1">
      <c r="A75" s="5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>
      <c r="A76" s="5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>
      <c r="A77" s="5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>
      <c r="A78" s="5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5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5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5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>
      <c r="A82" s="5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>
      <c r="A83" s="5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5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5.75" customHeight="1">
      <c r="A85" s="5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5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>
      <c r="A87" s="5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5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>
      <c r="A89" s="5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>
      <c r="A90" s="5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>
      <c r="A91" s="5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5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>
      <c r="A93" s="5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5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5.75" customHeight="1">
      <c r="A95" s="5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5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>
      <c r="A97" s="5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5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5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>
      <c r="A100" s="5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5.75" customHeight="1">
      <c r="A101" s="5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>
      <c r="A102" s="5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>
      <c r="A103" s="5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75" customHeight="1">
      <c r="A104" s="5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75" customHeight="1">
      <c r="A105" s="5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>
      <c r="A106" s="5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75" customHeight="1">
      <c r="A107" s="5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>
      <c r="A108" s="5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75" customHeight="1">
      <c r="A109" s="5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>
      <c r="A110" s="5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>
      <c r="A111" s="5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75" customHeight="1">
      <c r="A112" s="5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75" customHeight="1">
      <c r="A113" s="5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>
      <c r="A114" s="5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75" customHeight="1">
      <c r="A115" s="5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>
      <c r="A116" s="5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75" customHeight="1">
      <c r="A117" s="5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>
      <c r="A118" s="5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75" customHeight="1">
      <c r="A119" s="5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>
      <c r="A120" s="5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75" customHeight="1">
      <c r="A121" s="5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A122" s="5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75" customHeight="1">
      <c r="A123" s="5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>
      <c r="A124" s="5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>
      <c r="A125" s="5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>
      <c r="A126" s="5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>
      <c r="A127" s="5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>
      <c r="A128" s="5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>
      <c r="A129" s="5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>
      <c r="A130" s="5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>
      <c r="A131" s="5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>
      <c r="A132" s="5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>
      <c r="A133" s="5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>
      <c r="A134" s="5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>
      <c r="A135" s="5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>
      <c r="A136" s="5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A137" s="5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A138" s="5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5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A140" s="5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A141" s="5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A142" s="5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A143" s="5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A144" s="5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A145" s="5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A146" s="5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A147" s="5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A148" s="5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A149" s="5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5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5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5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5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75" customHeight="1">
      <c r="A154" s="5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A155" s="5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A156" s="5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A157" s="5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A158" s="5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A159" s="5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A160" s="5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A161" s="5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A162" s="5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A163" s="5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A164" s="5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A165" s="5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A166" s="5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A167" s="5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5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5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A170" s="5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A171" s="5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A172" s="5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A173" s="5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A174" s="5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5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5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A177" s="5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5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A179" s="5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A180" s="5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A181" s="5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5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5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A184" s="5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A185" s="5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5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5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5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5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5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5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5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5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5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5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5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5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5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5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5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5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5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5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5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5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5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5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5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5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5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5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5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5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5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5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5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5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5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5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A220" s="5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>
      <c r="A221" s="5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15.75" customHeight="1">
      <c r="A222" s="5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15.75" customHeight="1">
      <c r="A223" s="5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15.75" customHeight="1">
      <c r="A224" s="5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ht="15.75" customHeight="1">
      <c r="A225" s="5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ht="15.75" customHeight="1">
      <c r="A226" s="5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ht="15.75" customHeight="1">
      <c r="A227" s="5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ht="15.75" customHeight="1">
      <c r="A228" s="5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ht="15.75" customHeight="1">
      <c r="A229" s="5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ht="15.75" customHeight="1">
      <c r="A230" s="5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ht="15.75" customHeight="1">
      <c r="A231" s="5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ht="15.75" customHeight="1">
      <c r="A232" s="5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ht="15.75" customHeight="1">
      <c r="A233" s="5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ht="15.75" customHeight="1">
      <c r="A234" s="5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ht="15.75" customHeight="1">
      <c r="A235" s="5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ht="15.75" customHeight="1">
      <c r="A236" s="5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ht="15.75" customHeight="1">
      <c r="A237" s="5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ht="15.75" customHeight="1">
      <c r="A238" s="5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ht="15.75" customHeight="1">
      <c r="A239" s="5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ht="15.75" customHeight="1">
      <c r="A240" s="5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ht="15.75" customHeight="1">
      <c r="A241" s="5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ht="15.75" customHeight="1">
      <c r="A242" s="5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ht="15.75" customHeight="1">
      <c r="A243" s="5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ht="15.75" customHeight="1">
      <c r="A244" s="5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ht="15.75" customHeight="1">
      <c r="A245" s="5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ht="15.75" customHeight="1">
      <c r="A246" s="5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ht="15.75" customHeight="1">
      <c r="A247" s="5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ht="15.75" customHeight="1">
      <c r="A248" s="5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ht="15.75" customHeight="1">
      <c r="A249" s="5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15.75" customHeight="1">
      <c r="A250" s="5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ht="15.75" customHeight="1">
      <c r="A251" s="5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ht="15.75" customHeight="1">
      <c r="A252" s="5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ht="15.75" customHeight="1">
      <c r="A253" s="5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ht="15.75" customHeight="1">
      <c r="A254" s="5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ht="15.75" customHeight="1">
      <c r="A255" s="5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ht="15.75" customHeight="1">
      <c r="A256" s="5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ht="15.75" customHeight="1">
      <c r="A257" s="5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ht="15.75" customHeight="1">
      <c r="A258" s="5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ht="15.75" customHeight="1">
      <c r="A259" s="5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ht="15.75" customHeight="1">
      <c r="A260" s="5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ht="15.75" customHeight="1">
      <c r="A261" s="5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ht="15.75" customHeight="1">
      <c r="A262" s="5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ht="15.75" customHeight="1">
      <c r="A263" s="5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ht="15.75" customHeight="1">
      <c r="A264" s="5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ht="15.75" customHeight="1">
      <c r="A265" s="5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ht="15.75" customHeight="1">
      <c r="A266" s="5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ht="15.75" customHeight="1">
      <c r="A267" s="5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ht="15.75" customHeight="1">
      <c r="A268" s="5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ht="15.75" customHeight="1">
      <c r="A269" s="5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ht="15.75" customHeight="1">
      <c r="A270" s="5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ht="15.75" customHeight="1">
      <c r="A271" s="5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ht="15.75" customHeight="1">
      <c r="A272" s="5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ht="15.75" customHeight="1">
      <c r="A273" s="5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ht="15.75" customHeight="1">
      <c r="A274" s="5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ht="15.75" customHeight="1">
      <c r="A275" s="5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ht="15.75" customHeight="1">
      <c r="A276" s="5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ht="15.75" customHeight="1">
      <c r="A277" s="5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ht="15.75" customHeight="1">
      <c r="A278" s="5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ht="15.75" customHeight="1">
      <c r="A279" s="5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ht="15.75" customHeight="1">
      <c r="A280" s="5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ht="15.75" customHeight="1">
      <c r="A281" s="5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ht="15.75" customHeight="1">
      <c r="A282" s="5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ht="15.75" customHeight="1">
      <c r="A283" s="5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ht="15.75" customHeight="1">
      <c r="A284" s="5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ht="15.75" customHeight="1">
      <c r="A285" s="5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15.75" customHeight="1">
      <c r="A286" s="5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15.75" customHeight="1">
      <c r="A287" s="5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15.75" customHeight="1">
      <c r="A288" s="5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15.75" customHeight="1">
      <c r="A289" s="5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ht="15.75" customHeight="1">
      <c r="A290" s="5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ht="15.75" customHeight="1">
      <c r="A291" s="5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ht="15.75" customHeight="1">
      <c r="A292" s="5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ht="15.75" customHeight="1">
      <c r="A293" s="5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ht="15.75" customHeight="1">
      <c r="A294" s="5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ht="15.75" customHeight="1">
      <c r="A295" s="5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ht="15.75" customHeight="1">
      <c r="A296" s="5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ht="15.75" customHeight="1">
      <c r="A297" s="5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ht="15.75" customHeight="1">
      <c r="A298" s="5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ht="15.75" customHeight="1">
      <c r="A299" s="5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ht="15.75" customHeight="1">
      <c r="A300" s="5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ht="15.75" customHeight="1">
      <c r="A301" s="5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ht="15.75" customHeight="1">
      <c r="A302" s="5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ht="15.75" customHeight="1">
      <c r="A303" s="5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ht="15.75" customHeight="1">
      <c r="A304" s="5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ht="15.75" customHeight="1">
      <c r="A305" s="5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ht="15.75" customHeight="1">
      <c r="A306" s="5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ht="15.75" customHeight="1">
      <c r="A307" s="5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ht="15.75" customHeight="1">
      <c r="A308" s="5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ht="15.75" customHeight="1">
      <c r="A309" s="5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ht="15.75" customHeight="1">
      <c r="A310" s="5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ht="15.75" customHeight="1">
      <c r="A311" s="5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ht="15.75" customHeight="1">
      <c r="A312" s="5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ht="15.75" customHeight="1">
      <c r="A313" s="5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ht="15.75" customHeight="1">
      <c r="A314" s="5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ht="15.75" customHeight="1">
      <c r="A315" s="5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ht="15.75" customHeight="1">
      <c r="A316" s="5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ht="15.75" customHeight="1">
      <c r="A317" s="5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ht="15.75" customHeight="1">
      <c r="A318" s="5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ht="15.75" customHeight="1">
      <c r="A319" s="5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ht="15.75" customHeight="1">
      <c r="A320" s="5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ht="15.75" customHeight="1">
      <c r="A321" s="5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ht="15.75" customHeight="1">
      <c r="A322" s="5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ht="15.75" customHeight="1">
      <c r="A323" s="5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ht="15.75" customHeight="1">
      <c r="A324" s="5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ht="15.75" customHeight="1">
      <c r="A325" s="5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ht="15.75" customHeight="1">
      <c r="A326" s="5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ht="15.75" customHeight="1">
      <c r="A327" s="5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ht="15.75" customHeight="1">
      <c r="A328" s="5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ht="15.75" customHeight="1">
      <c r="A329" s="5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ht="15.75" customHeight="1">
      <c r="A330" s="5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ht="15.75" customHeight="1">
      <c r="A331" s="5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ht="15.75" customHeight="1">
      <c r="A332" s="5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ht="15.75" customHeight="1">
      <c r="A333" s="5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ht="15.75" customHeight="1">
      <c r="A334" s="5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ht="15.75" customHeight="1">
      <c r="A335" s="5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ht="15.75" customHeight="1">
      <c r="A336" s="5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ht="15.75" customHeight="1">
      <c r="A337" s="5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ht="15.75" customHeight="1">
      <c r="A338" s="5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ht="15.75" customHeight="1">
      <c r="A339" s="5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ht="15.75" customHeight="1">
      <c r="A340" s="5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ht="15.75" customHeight="1">
      <c r="A341" s="5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ht="15.75" customHeight="1">
      <c r="A342" s="5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ht="15.75" customHeight="1">
      <c r="A343" s="5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ht="15.75" customHeight="1">
      <c r="A344" s="5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ht="15.75" customHeight="1">
      <c r="A345" s="5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ht="15.75" customHeight="1">
      <c r="A346" s="5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ht="15.75" customHeight="1">
      <c r="A347" s="5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ht="15.75" customHeight="1">
      <c r="A348" s="5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ht="15.75" customHeight="1">
      <c r="A349" s="5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ht="15.75" customHeight="1">
      <c r="A350" s="5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ht="15.75" customHeight="1">
      <c r="A351" s="5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ht="15.75" customHeight="1">
      <c r="A352" s="5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ht="15.75" customHeight="1">
      <c r="A353" s="5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ht="15.75" customHeight="1">
      <c r="A354" s="5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ht="15.75" customHeight="1">
      <c r="A355" s="5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ht="15.75" customHeight="1">
      <c r="A356" s="5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ht="15.75" customHeight="1">
      <c r="A357" s="5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ht="15.75" customHeight="1">
      <c r="A358" s="5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ht="15.75" customHeight="1">
      <c r="A359" s="5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ht="15.75" customHeight="1">
      <c r="A360" s="5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ht="15.75" customHeight="1">
      <c r="A361" s="5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ht="15.75" customHeight="1">
      <c r="A362" s="5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ht="15.75" customHeight="1">
      <c r="A363" s="5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ht="15.75" customHeight="1">
      <c r="A364" s="5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ht="15.75" customHeight="1">
      <c r="A365" s="5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ht="15.75" customHeight="1">
      <c r="A366" s="5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ht="15.75" customHeight="1">
      <c r="A367" s="5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ht="15.75" customHeight="1">
      <c r="A368" s="5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ht="15.75" customHeight="1">
      <c r="A369" s="5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ht="15.75" customHeight="1">
      <c r="A370" s="5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ht="15.75" customHeight="1">
      <c r="A371" s="5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ht="15.75" customHeight="1">
      <c r="A372" s="5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ht="15.75" customHeight="1">
      <c r="A373" s="5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ht="15.75" customHeight="1">
      <c r="A374" s="5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ht="15.75" customHeight="1">
      <c r="A375" s="5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ht="15.75" customHeight="1">
      <c r="A376" s="5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ht="15.75" customHeight="1">
      <c r="A377" s="5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ht="15.75" customHeight="1">
      <c r="A378" s="5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ht="15.75" customHeight="1">
      <c r="A379" s="5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ht="15.75" customHeight="1">
      <c r="A380" s="5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ht="15.75" customHeight="1">
      <c r="A381" s="5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ht="15.75" customHeight="1">
      <c r="A382" s="5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ht="15.75" customHeight="1">
      <c r="A383" s="5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ht="15.75" customHeight="1">
      <c r="A384" s="5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ht="15.75" customHeight="1">
      <c r="A385" s="5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ht="15.75" customHeight="1">
      <c r="A386" s="5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ht="15.75" customHeight="1">
      <c r="A387" s="5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ht="15.75" customHeight="1">
      <c r="A388" s="5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ht="15.75" customHeight="1">
      <c r="A389" s="5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ht="15.75" customHeight="1">
      <c r="A390" s="5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ht="15.75" customHeight="1">
      <c r="A391" s="5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ht="15.75" customHeight="1">
      <c r="A392" s="5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ht="15.75" customHeight="1">
      <c r="A393" s="5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ht="15.75" customHeight="1">
      <c r="A394" s="5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ht="15.75" customHeight="1">
      <c r="A395" s="5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ht="15.75" customHeight="1">
      <c r="A396" s="5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ht="15.75" customHeight="1">
      <c r="A397" s="5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ht="15.75" customHeight="1">
      <c r="A398" s="5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ht="15.75" customHeight="1">
      <c r="A399" s="5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ht="15.75" customHeight="1">
      <c r="A400" s="5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ht="15.75" customHeight="1">
      <c r="A401" s="5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ht="15.75" customHeight="1">
      <c r="A402" s="5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ht="15.75" customHeight="1">
      <c r="A403" s="5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ht="15.75" customHeight="1">
      <c r="A404" s="5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ht="15.75" customHeight="1">
      <c r="A405" s="5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ht="15.75" customHeight="1">
      <c r="A406" s="5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ht="15.75" customHeight="1">
      <c r="A407" s="5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ht="15.75" customHeight="1">
      <c r="A408" s="5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ht="15.75" customHeight="1">
      <c r="A409" s="5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ht="15.75" customHeight="1">
      <c r="A410" s="5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ht="15.75" customHeight="1">
      <c r="A411" s="5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ht="15.75" customHeight="1">
      <c r="A412" s="5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ht="15.75" customHeight="1">
      <c r="A413" s="5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ht="15.75" customHeight="1">
      <c r="A414" s="5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ht="15.75" customHeight="1">
      <c r="A415" s="5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ht="15.75" customHeight="1">
      <c r="A416" s="5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ht="15.75" customHeight="1">
      <c r="A417" s="5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ht="15.75" customHeight="1">
      <c r="A418" s="5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ht="15.75" customHeight="1">
      <c r="A419" s="5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ht="15.75" customHeight="1">
      <c r="A420" s="5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ht="15.75" customHeight="1">
      <c r="A421" s="5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ht="15.75" customHeight="1">
      <c r="A422" s="5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ht="15.75" customHeight="1">
      <c r="A423" s="5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ht="15.75" customHeight="1">
      <c r="A424" s="5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ht="15.75" customHeight="1">
      <c r="A425" s="5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ht="15.75" customHeight="1">
      <c r="A426" s="5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ht="15.75" customHeight="1">
      <c r="A427" s="5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ht="15.75" customHeight="1">
      <c r="A428" s="5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ht="15.75" customHeight="1">
      <c r="A429" s="5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ht="15.75" customHeight="1">
      <c r="A430" s="5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ht="15.75" customHeight="1">
      <c r="A431" s="5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ht="15.75" customHeight="1">
      <c r="A432" s="5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ht="15.75" customHeight="1">
      <c r="A433" s="5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ht="15.75" customHeight="1">
      <c r="A434" s="5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ht="15.75" customHeight="1">
      <c r="A435" s="5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ht="15.75" customHeight="1">
      <c r="A436" s="5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ht="15.75" customHeight="1">
      <c r="A437" s="5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ht="15.75" customHeight="1">
      <c r="A438" s="5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ht="15.75" customHeight="1">
      <c r="A439" s="5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ht="15.75" customHeight="1">
      <c r="A440" s="5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ht="15.75" customHeight="1">
      <c r="A441" s="5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ht="15.75" customHeight="1">
      <c r="A442" s="5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ht="15.75" customHeight="1">
      <c r="A443" s="5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ht="15.75" customHeight="1">
      <c r="A444" s="5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ht="15.75" customHeight="1">
      <c r="A445" s="5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ht="15.75" customHeight="1">
      <c r="A446" s="5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ht="15.75" customHeight="1">
      <c r="A447" s="5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ht="15.75" customHeight="1">
      <c r="A448" s="5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ht="15.75" customHeight="1">
      <c r="A449" s="5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ht="15.75" customHeight="1">
      <c r="A450" s="5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ht="15.75" customHeight="1">
      <c r="A451" s="5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ht="15.75" customHeight="1">
      <c r="A452" s="5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ht="15.75" customHeight="1">
      <c r="A453" s="5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ht="15.75" customHeight="1">
      <c r="A454" s="5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ht="15.75" customHeight="1">
      <c r="A455" s="5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ht="15.75" customHeight="1">
      <c r="A456" s="5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ht="15.75" customHeight="1">
      <c r="A457" s="5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ht="15.75" customHeight="1">
      <c r="A458" s="5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ht="15.75" customHeight="1">
      <c r="A459" s="5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ht="15.75" customHeight="1">
      <c r="A460" s="5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ht="15.75" customHeight="1">
      <c r="A461" s="5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ht="15.75" customHeight="1">
      <c r="A462" s="5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ht="15.75" customHeight="1">
      <c r="A463" s="5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ht="15.75" customHeight="1">
      <c r="A464" s="5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ht="15.75" customHeight="1">
      <c r="A465" s="5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ht="15.75" customHeight="1">
      <c r="A466" s="5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ht="15.75" customHeight="1">
      <c r="A467" s="5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ht="15.75" customHeight="1">
      <c r="A468" s="5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ht="15.75" customHeight="1">
      <c r="A469" s="5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ht="15.75" customHeight="1">
      <c r="A470" s="5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ht="15.75" customHeight="1">
      <c r="A471" s="5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ht="15.75" customHeight="1">
      <c r="A472" s="5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ht="15.75" customHeight="1">
      <c r="A473" s="5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ht="15.75" customHeight="1">
      <c r="A474" s="5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ht="15.75" customHeight="1">
      <c r="A475" s="5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ht="15.75" customHeight="1">
      <c r="A476" s="5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ht="15.75" customHeight="1">
      <c r="A477" s="5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ht="15.75" customHeight="1">
      <c r="A478" s="5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ht="15.75" customHeight="1">
      <c r="A479" s="5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ht="15.75" customHeight="1">
      <c r="A480" s="5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ht="15.75" customHeight="1">
      <c r="A481" s="5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ht="15.75" customHeight="1">
      <c r="A482" s="5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ht="15.75" customHeight="1">
      <c r="A483" s="5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ht="15.75" customHeight="1">
      <c r="A484" s="5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ht="15.75" customHeight="1">
      <c r="A485" s="5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ht="15.75" customHeight="1">
      <c r="A486" s="5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ht="15.75" customHeight="1">
      <c r="A487" s="5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ht="15.75" customHeight="1">
      <c r="A488" s="5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ht="15.75" customHeight="1">
      <c r="A489" s="5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ht="15.75" customHeight="1">
      <c r="A490" s="5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ht="15.75" customHeight="1">
      <c r="A491" s="5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ht="15.75" customHeight="1">
      <c r="A492" s="5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ht="15.75" customHeight="1">
      <c r="A493" s="5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ht="15.75" customHeight="1">
      <c r="A494" s="5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ht="15.75" customHeight="1">
      <c r="A495" s="5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ht="15.75" customHeight="1">
      <c r="A496" s="5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ht="15.75" customHeight="1">
      <c r="A497" s="5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ht="15.75" customHeight="1">
      <c r="A498" s="5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ht="15.75" customHeight="1">
      <c r="A499" s="5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ht="15.75" customHeight="1">
      <c r="A500" s="5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ht="15.75" customHeight="1">
      <c r="A501" s="5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15.75" customHeight="1">
      <c r="A502" s="5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15.75" customHeight="1">
      <c r="A503" s="5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15.75" customHeight="1">
      <c r="A504" s="5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15.75" customHeight="1">
      <c r="A505" s="5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15.75" customHeight="1">
      <c r="A506" s="5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15.75" customHeight="1">
      <c r="A507" s="5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15.75" customHeight="1">
      <c r="A508" s="5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15.75" customHeight="1">
      <c r="A509" s="5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15.75" customHeight="1">
      <c r="A510" s="5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15.75" customHeight="1">
      <c r="A511" s="5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15.75" customHeight="1">
      <c r="A512" s="5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15.75" customHeight="1">
      <c r="A513" s="5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15.75" customHeight="1">
      <c r="A514" s="5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15.75" customHeight="1">
      <c r="A515" s="5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15.75" customHeight="1">
      <c r="A516" s="5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ht="15.75" customHeight="1">
      <c r="A517" s="5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15.75" customHeight="1">
      <c r="A518" s="5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15.75" customHeight="1">
      <c r="A519" s="5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15.75" customHeight="1">
      <c r="A520" s="5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15.75" customHeight="1">
      <c r="A521" s="5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15.75" customHeight="1">
      <c r="A522" s="5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15.75" customHeight="1">
      <c r="A523" s="5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15.75" customHeight="1">
      <c r="A524" s="5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15.75" customHeight="1">
      <c r="A525" s="5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15.75" customHeight="1">
      <c r="A526" s="5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15.75" customHeight="1">
      <c r="A527" s="5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15.75" customHeight="1">
      <c r="A528" s="5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15.75" customHeight="1">
      <c r="A529" s="5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15.75" customHeight="1">
      <c r="A530" s="5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15.75" customHeight="1">
      <c r="A531" s="5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15.75" customHeight="1">
      <c r="A532" s="5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15.75" customHeight="1">
      <c r="A533" s="5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15.75" customHeight="1">
      <c r="A534" s="5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15.75" customHeight="1">
      <c r="A535" s="5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15.75" customHeight="1">
      <c r="A536" s="5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15.75" customHeight="1">
      <c r="A537" s="5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15.75" customHeight="1">
      <c r="A538" s="5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15.75" customHeight="1">
      <c r="A539" s="5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15.75" customHeight="1">
      <c r="A540" s="5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15.75" customHeight="1">
      <c r="A541" s="5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15.75" customHeight="1">
      <c r="A542" s="5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15.75" customHeight="1">
      <c r="A543" s="5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15.75" customHeight="1">
      <c r="A544" s="5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15.75" customHeight="1">
      <c r="A545" s="5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15.75" customHeight="1">
      <c r="A546" s="5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15.75" customHeight="1">
      <c r="A547" s="5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15.75" customHeight="1">
      <c r="A548" s="5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15.75" customHeight="1">
      <c r="A549" s="5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15.75" customHeight="1">
      <c r="A550" s="5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15.75" customHeight="1">
      <c r="A551" s="5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15.75" customHeight="1">
      <c r="A552" s="5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15.75" customHeight="1">
      <c r="A553" s="5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15.75" customHeight="1">
      <c r="A554" s="5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15.75" customHeight="1">
      <c r="A555" s="5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15.75" customHeight="1">
      <c r="A556" s="5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15.75" customHeight="1">
      <c r="A557" s="5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15.75" customHeight="1">
      <c r="A558" s="5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15.75" customHeight="1">
      <c r="A559" s="5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15.75" customHeight="1">
      <c r="A560" s="5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15.75" customHeight="1">
      <c r="A561" s="5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15.75" customHeight="1">
      <c r="A562" s="5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15.75" customHeight="1">
      <c r="A563" s="5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15.75" customHeight="1">
      <c r="A564" s="5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15.75" customHeight="1">
      <c r="A565" s="5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ht="15.75" customHeight="1">
      <c r="A566" s="5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ht="15.75" customHeight="1">
      <c r="A567" s="5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ht="15.75" customHeight="1">
      <c r="A568" s="5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ht="15.75" customHeight="1">
      <c r="A569" s="5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ht="15.75" customHeight="1">
      <c r="A570" s="5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ht="15.75" customHeight="1">
      <c r="A571" s="5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ht="15.75" customHeight="1">
      <c r="A572" s="5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ht="15.75" customHeight="1">
      <c r="A573" s="5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ht="15.75" customHeight="1">
      <c r="A574" s="5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ht="15.75" customHeight="1">
      <c r="A575" s="5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ht="15.75" customHeight="1">
      <c r="A576" s="5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ht="15.75" customHeight="1">
      <c r="A577" s="5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ht="15.75" customHeight="1">
      <c r="A578" s="5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ht="15.75" customHeight="1">
      <c r="A579" s="5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ht="15.75" customHeight="1">
      <c r="A580" s="5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ht="15.75" customHeight="1">
      <c r="A581" s="5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ht="15.75" customHeight="1">
      <c r="A582" s="5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ht="15.75" customHeight="1">
      <c r="A583" s="5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ht="15.75" customHeight="1">
      <c r="A584" s="5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ht="15.75" customHeight="1">
      <c r="A585" s="5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ht="15.75" customHeight="1">
      <c r="A586" s="5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ht="15.75" customHeight="1">
      <c r="A587" s="5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ht="15.75" customHeight="1">
      <c r="A588" s="5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ht="15.75" customHeight="1">
      <c r="A589" s="5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ht="15.75" customHeight="1">
      <c r="A590" s="5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ht="15.75" customHeight="1">
      <c r="A591" s="5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ht="15.75" customHeight="1">
      <c r="A592" s="5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ht="15.75" customHeight="1">
      <c r="A593" s="5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ht="15.75" customHeight="1">
      <c r="A594" s="5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ht="15.75" customHeight="1">
      <c r="A595" s="5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ht="15.75" customHeight="1">
      <c r="A596" s="5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ht="15.75" customHeight="1">
      <c r="A597" s="5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ht="15.75" customHeight="1">
      <c r="A598" s="5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ht="15.75" customHeight="1">
      <c r="A599" s="5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ht="15.75" customHeight="1">
      <c r="A600" s="5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ht="15.75" customHeight="1">
      <c r="A601" s="5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ht="15.75" customHeight="1">
      <c r="A602" s="5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ht="15.75" customHeight="1">
      <c r="A603" s="5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ht="15.75" customHeight="1">
      <c r="A604" s="5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ht="15.75" customHeight="1">
      <c r="A605" s="5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ht="15.75" customHeight="1">
      <c r="A606" s="5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ht="15.75" customHeight="1">
      <c r="A607" s="5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ht="15.75" customHeight="1">
      <c r="A608" s="5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ht="15.75" customHeight="1">
      <c r="A609" s="5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ht="15.75" customHeight="1">
      <c r="A610" s="5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ht="15.75" customHeight="1">
      <c r="A611" s="5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ht="15.75" customHeight="1">
      <c r="A612" s="5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ht="15.75" customHeight="1">
      <c r="A613" s="5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ht="15.75" customHeight="1">
      <c r="A614" s="5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ht="15.75" customHeight="1">
      <c r="A615" s="5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ht="15.75" customHeight="1">
      <c r="A616" s="5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ht="15.75" customHeight="1">
      <c r="A617" s="5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ht="15.75" customHeight="1">
      <c r="A618" s="5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ht="15.75" customHeight="1">
      <c r="A619" s="5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ht="15.75" customHeight="1">
      <c r="A620" s="5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ht="15.75" customHeight="1">
      <c r="A621" s="5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ht="15.75" customHeight="1">
      <c r="A622" s="5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ht="15.75" customHeight="1">
      <c r="A623" s="5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ht="15.75" customHeight="1">
      <c r="A624" s="5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ht="15.75" customHeight="1">
      <c r="A625" s="5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ht="15.75" customHeight="1">
      <c r="A626" s="5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ht="15.75" customHeight="1">
      <c r="A627" s="5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ht="15.75" customHeight="1">
      <c r="A628" s="5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ht="15.75" customHeight="1">
      <c r="A629" s="5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ht="15.75" customHeight="1">
      <c r="A630" s="5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ht="15.75" customHeight="1">
      <c r="A631" s="5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ht="15.75" customHeight="1">
      <c r="A632" s="5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ht="15.75" customHeight="1">
      <c r="A633" s="5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ht="15.75" customHeight="1">
      <c r="A634" s="5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ht="15.75" customHeight="1">
      <c r="A635" s="5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ht="15.75" customHeight="1">
      <c r="A636" s="5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ht="15.75" customHeight="1">
      <c r="A637" s="5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ht="15.75" customHeight="1">
      <c r="A638" s="5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ht="15.75" customHeight="1">
      <c r="A639" s="5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ht="15.75" customHeight="1">
      <c r="A640" s="5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ht="15.75" customHeight="1">
      <c r="A641" s="5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ht="15.75" customHeight="1">
      <c r="A642" s="5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ht="15.75" customHeight="1">
      <c r="A643" s="5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ht="15.75" customHeight="1">
      <c r="A644" s="5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ht="15.75" customHeight="1">
      <c r="A645" s="5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ht="15.75" customHeight="1">
      <c r="A646" s="5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ht="15.75" customHeight="1">
      <c r="A647" s="5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ht="15.75" customHeight="1">
      <c r="A648" s="5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ht="15.75" customHeight="1">
      <c r="A649" s="5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ht="15.75" customHeight="1">
      <c r="A650" s="5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ht="15.75" customHeight="1">
      <c r="A651" s="5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ht="15.75" customHeight="1">
      <c r="A652" s="5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ht="15.75" customHeight="1">
      <c r="A653" s="5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ht="15.75" customHeight="1">
      <c r="A654" s="5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ht="15.75" customHeight="1">
      <c r="A655" s="5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ht="15.75" customHeight="1">
      <c r="A656" s="5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ht="15.75" customHeight="1">
      <c r="A657" s="5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ht="15.75" customHeight="1">
      <c r="A658" s="5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ht="15.75" customHeight="1">
      <c r="A659" s="5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ht="15.75" customHeight="1">
      <c r="A660" s="5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ht="15.75" customHeight="1">
      <c r="A661" s="5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ht="15.75" customHeight="1">
      <c r="A662" s="5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ht="15.75" customHeight="1">
      <c r="A663" s="5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ht="15.75" customHeight="1">
      <c r="A664" s="5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ht="15.75" customHeight="1">
      <c r="A665" s="5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ht="15.75" customHeight="1">
      <c r="A666" s="5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ht="15.75" customHeight="1">
      <c r="A667" s="5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ht="15.75" customHeight="1">
      <c r="A668" s="5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ht="15.75" customHeight="1">
      <c r="A669" s="5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ht="15.75" customHeight="1">
      <c r="A670" s="5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ht="15.75" customHeight="1">
      <c r="A671" s="5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ht="15.75" customHeight="1">
      <c r="A672" s="5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ht="15.75" customHeight="1">
      <c r="A673" s="5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ht="15.75" customHeight="1">
      <c r="A674" s="5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ht="15.75" customHeight="1">
      <c r="A675" s="5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ht="15.75" customHeight="1">
      <c r="A676" s="5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ht="15.75" customHeight="1">
      <c r="A677" s="5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ht="15.75" customHeight="1">
      <c r="A678" s="5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ht="15.75" customHeight="1">
      <c r="A679" s="5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ht="15.75" customHeight="1">
      <c r="A680" s="5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ht="15.75" customHeight="1">
      <c r="A681" s="5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ht="15.75" customHeight="1">
      <c r="A682" s="5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ht="15.75" customHeight="1">
      <c r="A683" s="5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ht="15.75" customHeight="1">
      <c r="A684" s="5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ht="15.75" customHeight="1">
      <c r="A685" s="5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ht="15.75" customHeight="1">
      <c r="A686" s="5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ht="15.75" customHeight="1">
      <c r="A687" s="5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ht="15.75" customHeight="1">
      <c r="A688" s="5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ht="15.75" customHeight="1">
      <c r="A689" s="5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ht="15.75" customHeight="1">
      <c r="A690" s="5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ht="15.75" customHeight="1">
      <c r="A691" s="5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ht="15.75" customHeight="1">
      <c r="A692" s="5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ht="15.75" customHeight="1">
      <c r="A693" s="5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ht="15.75" customHeight="1">
      <c r="A694" s="5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ht="15.75" customHeight="1">
      <c r="A695" s="5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ht="15.75" customHeight="1">
      <c r="A696" s="5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ht="15.75" customHeight="1">
      <c r="A697" s="5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ht="15.75" customHeight="1">
      <c r="A698" s="5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ht="15.75" customHeight="1">
      <c r="A699" s="5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ht="15.75" customHeight="1">
      <c r="A700" s="5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ht="15.75" customHeight="1">
      <c r="A701" s="5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ht="15.75" customHeight="1">
      <c r="A702" s="5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ht="15.75" customHeight="1">
      <c r="A703" s="5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ht="15.75" customHeight="1">
      <c r="A704" s="5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ht="15.75" customHeight="1">
      <c r="A705" s="5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ht="15.75" customHeight="1">
      <c r="A706" s="5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ht="15.75" customHeight="1">
      <c r="A707" s="5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ht="15.75" customHeight="1">
      <c r="A708" s="5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ht="15.75" customHeight="1">
      <c r="A709" s="5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ht="15.75" customHeight="1">
      <c r="A710" s="5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ht="15.75" customHeight="1">
      <c r="A711" s="5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ht="15.75" customHeight="1">
      <c r="A712" s="5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ht="15.75" customHeight="1">
      <c r="A713" s="5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ht="15.75" customHeight="1">
      <c r="A714" s="5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ht="15.75" customHeight="1">
      <c r="A715" s="5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ht="15.75" customHeight="1">
      <c r="A716" s="5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ht="15.75" customHeight="1">
      <c r="A717" s="5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ht="15.75" customHeight="1">
      <c r="A718" s="5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ht="15.75" customHeight="1">
      <c r="A719" s="5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ht="15.75" customHeight="1">
      <c r="A720" s="5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ht="15.75" customHeight="1">
      <c r="A721" s="5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ht="15.75" customHeight="1">
      <c r="A722" s="5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ht="15.75" customHeight="1">
      <c r="A723" s="5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ht="15.75" customHeight="1">
      <c r="A724" s="5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ht="15.75" customHeight="1">
      <c r="A725" s="5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ht="15.75" customHeight="1">
      <c r="A726" s="5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ht="15.75" customHeight="1">
      <c r="A727" s="5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ht="15.75" customHeight="1">
      <c r="A728" s="5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ht="15.75" customHeight="1">
      <c r="A729" s="5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ht="15.75" customHeight="1">
      <c r="A730" s="5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ht="15.75" customHeight="1">
      <c r="A731" s="5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ht="15.75" customHeight="1">
      <c r="A732" s="5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ht="15.75" customHeight="1">
      <c r="A733" s="5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ht="15.75" customHeight="1">
      <c r="A734" s="5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ht="15.75" customHeight="1">
      <c r="A735" s="5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ht="15.75" customHeight="1">
      <c r="A736" s="5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ht="15.75" customHeight="1">
      <c r="A737" s="5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ht="15.75" customHeight="1">
      <c r="A738" s="5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ht="15.75" customHeight="1">
      <c r="A739" s="5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ht="15.75" customHeight="1">
      <c r="A740" s="5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ht="15.75" customHeight="1">
      <c r="A741" s="5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ht="15.75" customHeight="1">
      <c r="A742" s="5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ht="15.75" customHeight="1">
      <c r="A743" s="5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ht="15.75" customHeight="1">
      <c r="A744" s="5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ht="15.75" customHeight="1">
      <c r="A745" s="5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ht="15.75" customHeight="1">
      <c r="A746" s="5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ht="15.75" customHeight="1">
      <c r="A747" s="5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ht="15.75" customHeight="1">
      <c r="A748" s="5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ht="15.75" customHeight="1">
      <c r="A749" s="5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ht="15.75" customHeight="1">
      <c r="A750" s="5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ht="15.75" customHeight="1">
      <c r="A751" s="5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ht="15.75" customHeight="1">
      <c r="A752" s="5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ht="15.75" customHeight="1">
      <c r="A753" s="5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ht="15.75" customHeight="1">
      <c r="A754" s="5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ht="15.75" customHeight="1">
      <c r="A755" s="5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ht="15.75" customHeight="1">
      <c r="A756" s="5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ht="15.75" customHeight="1">
      <c r="A757" s="5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ht="15.75" customHeight="1">
      <c r="A758" s="5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ht="15.75" customHeight="1">
      <c r="A759" s="5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ht="15.75" customHeight="1">
      <c r="A760" s="5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ht="15.75" customHeight="1">
      <c r="A761" s="5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ht="15.75" customHeight="1">
      <c r="A762" s="5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ht="15.75" customHeight="1">
      <c r="A763" s="5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ht="15.75" customHeight="1">
      <c r="A764" s="5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ht="15.75" customHeight="1">
      <c r="A765" s="5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ht="15.75" customHeight="1">
      <c r="A766" s="5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ht="15.75" customHeight="1">
      <c r="A767" s="5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ht="15.75" customHeight="1">
      <c r="A768" s="5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ht="15.75" customHeight="1">
      <c r="A769" s="5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ht="15.75" customHeight="1">
      <c r="A770" s="5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ht="15.75" customHeight="1">
      <c r="A771" s="5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ht="15.75" customHeight="1">
      <c r="A772" s="5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ht="15.75" customHeight="1">
      <c r="A773" s="5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ht="15.75" customHeight="1">
      <c r="A774" s="5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ht="15.75" customHeight="1">
      <c r="A775" s="5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ht="15.75" customHeight="1">
      <c r="A776" s="5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ht="15.75" customHeight="1">
      <c r="A777" s="5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ht="15.75" customHeight="1">
      <c r="A778" s="5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ht="15.75" customHeight="1">
      <c r="A779" s="5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ht="15.75" customHeight="1">
      <c r="A780" s="5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ht="15.75" customHeight="1">
      <c r="A781" s="5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ht="15.75" customHeight="1">
      <c r="A782" s="5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ht="15.75" customHeight="1">
      <c r="A783" s="5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ht="15.75" customHeight="1">
      <c r="A784" s="5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ht="15.75" customHeight="1">
      <c r="A785" s="5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ht="15.75" customHeight="1">
      <c r="A786" s="5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ht="15.75" customHeight="1">
      <c r="A787" s="5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ht="15.75" customHeight="1">
      <c r="A788" s="5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ht="15.75" customHeight="1">
      <c r="A789" s="5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ht="15.75" customHeight="1">
      <c r="A790" s="5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ht="15.75" customHeight="1">
      <c r="A791" s="5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ht="15.75" customHeight="1">
      <c r="A792" s="5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ht="15.75" customHeight="1">
      <c r="A793" s="5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ht="15.75" customHeight="1">
      <c r="A794" s="5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ht="15.75" customHeight="1">
      <c r="A795" s="5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ht="15.75" customHeight="1">
      <c r="A796" s="5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ht="15.75" customHeight="1">
      <c r="A797" s="5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ht="15.75" customHeight="1">
      <c r="A798" s="5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ht="15.75" customHeight="1">
      <c r="A799" s="5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ht="15.75" customHeight="1">
      <c r="A800" s="5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ht="15.75" customHeight="1">
      <c r="A801" s="5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ht="15.75" customHeight="1">
      <c r="A802" s="5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ht="15.75" customHeight="1">
      <c r="A803" s="5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ht="15.75" customHeight="1">
      <c r="A804" s="5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ht="15.75" customHeight="1">
      <c r="A805" s="5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ht="15.75" customHeight="1">
      <c r="A806" s="5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ht="15.75" customHeight="1">
      <c r="A807" s="5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ht="15.75" customHeight="1">
      <c r="A808" s="5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ht="15.75" customHeight="1">
      <c r="A809" s="5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ht="15.75" customHeight="1">
      <c r="A810" s="5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ht="15.75" customHeight="1">
      <c r="A811" s="5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ht="15.75" customHeight="1">
      <c r="A812" s="5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ht="15.75" customHeight="1">
      <c r="A813" s="5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ht="15.75" customHeight="1">
      <c r="A814" s="5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ht="15.75" customHeight="1">
      <c r="A815" s="5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ht="15.75" customHeight="1">
      <c r="A816" s="5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ht="15.75" customHeight="1">
      <c r="A817" s="5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ht="15.75" customHeight="1">
      <c r="A818" s="5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ht="15.75" customHeight="1">
      <c r="A819" s="5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ht="15.75" customHeight="1">
      <c r="A820" s="5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ht="15.75" customHeight="1">
      <c r="A821" s="5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ht="15.75" customHeight="1">
      <c r="A822" s="5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ht="15.75" customHeight="1">
      <c r="A823" s="5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ht="15.75" customHeight="1">
      <c r="A824" s="5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ht="15.75" customHeight="1">
      <c r="A825" s="5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ht="15.75" customHeight="1">
      <c r="A826" s="5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ht="15.75" customHeight="1">
      <c r="A827" s="5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ht="15.75" customHeight="1">
      <c r="A828" s="5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ht="15.75" customHeight="1">
      <c r="A829" s="5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ht="15.75" customHeight="1">
      <c r="A830" s="5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ht="15.75" customHeight="1">
      <c r="A831" s="5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ht="15.75" customHeight="1">
      <c r="A832" s="5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ht="15.75" customHeight="1">
      <c r="A833" s="5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ht="15.75" customHeight="1">
      <c r="A834" s="5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ht="15.75" customHeight="1">
      <c r="A835" s="5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ht="15.75" customHeight="1">
      <c r="A836" s="5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ht="15.75" customHeight="1">
      <c r="A837" s="5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ht="15.75" customHeight="1">
      <c r="A838" s="5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ht="15.75" customHeight="1">
      <c r="A839" s="5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ht="15.75" customHeight="1">
      <c r="A840" s="5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ht="15.75" customHeight="1">
      <c r="A841" s="5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ht="15.75" customHeight="1">
      <c r="A842" s="5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ht="15.75" customHeight="1">
      <c r="A843" s="5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ht="15.75" customHeight="1">
      <c r="A844" s="5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ht="15.75" customHeight="1">
      <c r="A845" s="5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ht="15.75" customHeight="1">
      <c r="A846" s="5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ht="15.75" customHeight="1">
      <c r="A847" s="5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ht="15.75" customHeight="1">
      <c r="A848" s="5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ht="15.75" customHeight="1">
      <c r="A849" s="5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ht="15.75" customHeight="1">
      <c r="A850" s="5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ht="15.75" customHeight="1">
      <c r="A851" s="5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ht="15.75" customHeight="1">
      <c r="A852" s="5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ht="15.75" customHeight="1">
      <c r="A853" s="5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ht="15.75" customHeight="1">
      <c r="A854" s="5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ht="15.75" customHeight="1">
      <c r="A855" s="5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ht="15.75" customHeight="1">
      <c r="A856" s="5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ht="15.75" customHeight="1">
      <c r="A857" s="5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ht="15.75" customHeight="1">
      <c r="A858" s="5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ht="15.75" customHeight="1">
      <c r="A859" s="5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ht="15.75" customHeight="1">
      <c r="A860" s="5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ht="15.75" customHeight="1">
      <c r="A861" s="5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ht="15.75" customHeight="1">
      <c r="A862" s="5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ht="15.75" customHeight="1">
      <c r="A863" s="5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ht="15.75" customHeight="1">
      <c r="A864" s="5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ht="15.75" customHeight="1">
      <c r="A865" s="5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ht="15.75" customHeight="1">
      <c r="A866" s="5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ht="15.75" customHeight="1">
      <c r="A867" s="5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ht="15.75" customHeight="1">
      <c r="A868" s="5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15.75" customHeight="1">
      <c r="A869" s="5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15.75" customHeight="1">
      <c r="A870" s="5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15.75" customHeight="1">
      <c r="A871" s="5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15.75" customHeight="1">
      <c r="A872" s="5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15.75" customHeight="1">
      <c r="A873" s="5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15.75" customHeight="1">
      <c r="A874" s="5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15.75" customHeight="1">
      <c r="A875" s="5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15.75" customHeight="1">
      <c r="A876" s="5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15.75" customHeight="1">
      <c r="A877" s="5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15.75" customHeight="1">
      <c r="A878" s="5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15.75" customHeight="1">
      <c r="A879" s="5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15.75" customHeight="1">
      <c r="A880" s="5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15.75" customHeight="1">
      <c r="A881" s="5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15.75" customHeight="1">
      <c r="A882" s="5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15.75" customHeight="1">
      <c r="A883" s="5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15.75" customHeight="1">
      <c r="A884" s="5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15.75" customHeight="1">
      <c r="A885" s="5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15.75" customHeight="1">
      <c r="A886" s="5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15.75" customHeight="1">
      <c r="A887" s="5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ht="15.75" customHeight="1">
      <c r="A888" s="5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15.75" customHeight="1">
      <c r="A889" s="5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15.75" customHeight="1">
      <c r="A890" s="5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15.75" customHeight="1">
      <c r="A891" s="5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15.75" customHeight="1">
      <c r="A892" s="5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5.75" customHeight="1">
      <c r="A893" s="5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5.75" customHeight="1">
      <c r="A894" s="5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15.75" customHeight="1">
      <c r="A895" s="5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15.75" customHeight="1">
      <c r="A896" s="5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15.75" customHeight="1">
      <c r="A897" s="5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15.75" customHeight="1">
      <c r="A898" s="5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15.75" customHeight="1">
      <c r="A899" s="5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15.75" customHeight="1">
      <c r="A900" s="5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15.75" customHeight="1">
      <c r="A901" s="5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15.75" customHeight="1">
      <c r="A902" s="5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15.75" customHeight="1">
      <c r="A903" s="5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15.75" customHeight="1">
      <c r="A904" s="5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ht="15.75" customHeight="1">
      <c r="A905" s="5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15.75" customHeight="1">
      <c r="A906" s="5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15.75" customHeight="1">
      <c r="A907" s="5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15.75" customHeight="1">
      <c r="A908" s="5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15.75" customHeight="1">
      <c r="A909" s="5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15.75" customHeight="1">
      <c r="A910" s="5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15.75" customHeight="1">
      <c r="A911" s="5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15.75" customHeight="1">
      <c r="A912" s="5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15.75" customHeight="1">
      <c r="A913" s="5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15.75" customHeight="1">
      <c r="A914" s="5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15.75" customHeight="1">
      <c r="A915" s="5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15.75" customHeight="1">
      <c r="A916" s="5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15.75" customHeight="1">
      <c r="A917" s="5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15.75" customHeight="1">
      <c r="A918" s="5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15.75" customHeight="1">
      <c r="A919" s="5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ht="15.75" customHeight="1">
      <c r="A920" s="5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ht="15.75" customHeight="1">
      <c r="A921" s="5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ht="15.75" customHeight="1">
      <c r="A922" s="5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ht="15.75" customHeight="1">
      <c r="A923" s="5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ht="15.75" customHeight="1">
      <c r="A924" s="5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ht="15.75" customHeight="1">
      <c r="A925" s="5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ht="15.75" customHeight="1">
      <c r="A926" s="5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ht="15.75" customHeight="1">
      <c r="A927" s="5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ht="15.75" customHeight="1">
      <c r="A928" s="5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ht="15.75" customHeight="1">
      <c r="A929" s="5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ht="15.75" customHeight="1">
      <c r="A930" s="5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ht="15.75" customHeight="1">
      <c r="A931" s="5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ht="15.75" customHeight="1">
      <c r="A932" s="5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ht="15.75" customHeight="1">
      <c r="A933" s="5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ht="15.75" customHeight="1">
      <c r="A934" s="5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ht="15.75" customHeight="1">
      <c r="A935" s="5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ht="15.75" customHeight="1">
      <c r="A936" s="5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ht="15.75" customHeight="1">
      <c r="A937" s="5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ht="15.75" customHeight="1">
      <c r="A938" s="5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ht="15.75" customHeight="1">
      <c r="A939" s="5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ht="15.75" customHeight="1">
      <c r="A940" s="5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ht="15.75" customHeight="1">
      <c r="A941" s="5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ht="15.75" customHeight="1">
      <c r="A942" s="5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ht="15.75" customHeight="1">
      <c r="A943" s="5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ht="15.75" customHeight="1">
      <c r="A944" s="5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ht="15.75" customHeight="1">
      <c r="A945" s="5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ht="15.75" customHeight="1">
      <c r="A946" s="5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ht="15.75" customHeight="1">
      <c r="A947" s="5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ht="15.75" customHeight="1">
      <c r="A948" s="5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ht="15.75" customHeight="1">
      <c r="A949" s="5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ht="15.75" customHeight="1">
      <c r="A950" s="5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ht="15.75" customHeight="1">
      <c r="A951" s="5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ht="15.75" customHeight="1">
      <c r="A952" s="5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ht="15.75" customHeight="1">
      <c r="A953" s="5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ht="15.75" customHeight="1">
      <c r="A954" s="5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ht="15.75" customHeight="1">
      <c r="A955" s="5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ht="15.75" customHeight="1">
      <c r="A956" s="5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ht="15.75" customHeight="1">
      <c r="A957" s="5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ht="15.75" customHeight="1">
      <c r="A958" s="5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ht="15.75" customHeight="1">
      <c r="A959" s="5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ht="15.75" customHeight="1">
      <c r="A960" s="5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ht="15.75" customHeight="1">
      <c r="A961" s="5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ht="15.75" customHeight="1">
      <c r="A962" s="5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ht="15.75" customHeight="1">
      <c r="A963" s="5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ht="15.75" customHeight="1">
      <c r="A964" s="5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ht="15.75" customHeight="1">
      <c r="A965" s="5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ht="15.75" customHeight="1">
      <c r="A966" s="5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ht="15.75" customHeight="1">
      <c r="A967" s="5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ht="15.75" customHeight="1">
      <c r="A968" s="5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ht="15.75" customHeight="1">
      <c r="A969" s="5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ht="15.75" customHeight="1">
      <c r="A970" s="5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ht="15.75" customHeight="1">
      <c r="A971" s="5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ht="15.75" customHeight="1">
      <c r="A972" s="5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ht="15.75" customHeight="1">
      <c r="A973" s="5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ht="15.75" customHeight="1">
      <c r="A974" s="5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ht="15.75" customHeight="1">
      <c r="A975" s="5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ht="15.75" customHeight="1">
      <c r="A976" s="5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ht="15.75" customHeight="1">
      <c r="A977" s="5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ht="15.75" customHeight="1">
      <c r="A978" s="5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ht="15.75" customHeight="1">
      <c r="A979" s="5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ht="15.75" customHeight="1">
      <c r="A980" s="5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ht="15.75" customHeight="1">
      <c r="A981" s="5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ht="15.75" customHeight="1">
      <c r="A982" s="5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ht="15.75" customHeight="1">
      <c r="A983" s="5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ht="15.75" customHeight="1">
      <c r="A984" s="5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ht="15.75" customHeight="1">
      <c r="A985" s="5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ht="15.75" customHeight="1">
      <c r="A986" s="5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ht="15.75" customHeight="1">
      <c r="A987" s="5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ht="15.75" customHeight="1">
      <c r="A988" s="5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ht="15.75" customHeight="1">
      <c r="A989" s="5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ht="15.75" customHeight="1">
      <c r="A990" s="5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ht="15.75" customHeight="1">
      <c r="A991" s="5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ht="15.75" customHeight="1">
      <c r="A992" s="5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ht="15.75" customHeight="1">
      <c r="A993" s="5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ht="15.75" customHeight="1">
      <c r="A994" s="5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>
      <c r="A995" s="5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ht="15.75" customHeight="1">
      <c r="A996" s="5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ht="15.75" customHeight="1">
      <c r="A997" s="5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ht="15.75" customHeight="1">
      <c r="A998" s="5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ht="15.75" customHeight="1">
      <c r="A999" s="5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ht="15.75" customHeight="1">
      <c r="A1000" s="5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dataValidations>
    <dataValidation type="list" allowBlank="1" showErrorMessage="1" sqref="L4:L5 P4:P5 L7:L9 J4:J11 L11 N4:N11 P7:P11 J13:J15 J18:J20 N18:N20">
      <formula1>"תואם,לא תואם"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