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0" sheetId="1" r:id="rId4"/>
  </sheets>
  <definedNames/>
  <calcPr/>
  <extLst>
    <ext uri="GoogleSheetsCustomDataVersion2">
      <go:sheetsCustomData xmlns:go="http://customooxmlschemas.google.com/" r:id="rId5" roundtripDataChecksum="tsc2lxIRh0JjNO3ldmzm2Y31B9iBTDEi0S0qhStPhQA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5">
      <text>
        <t xml:space="preserve">======
ID#AAAB0PbOPnY
יובל סעדון    (2026-02-16 08:39:49)
יורד בקטמון- 60 [שזה כולל את הרב שחר (20), חולי (10), שלומי (5), מאיר (15), דואר (20)] + קידום נוער (40) +רמת אשכול (10)</t>
      </text>
    </comment>
  </commentList>
  <extLst>
    <ext uri="GoogleSheetsCustomDataVersion2">
      <go:sheetsCustomData xmlns:go="http://customooxmlschemas.google.com/" r:id="rId1" roundtripDataSignature="AMtx7mhch9zLi4hPCiIM62zwngUBnyYHuw=="/>
    </ext>
  </extLst>
</comments>
</file>

<file path=xl/sharedStrings.xml><?xml version="1.0" encoding="utf-8"?>
<sst xmlns="http://schemas.openxmlformats.org/spreadsheetml/2006/main" count="31" uniqueCount="31">
  <si>
    <t>פסח 2026</t>
  </si>
  <si>
    <t>בקעה</t>
  </si>
  <si>
    <t>גילה</t>
  </si>
  <si>
    <t>נווה יעקב</t>
  </si>
  <si>
    <t>נחלאות</t>
  </si>
  <si>
    <t>קטמון (כולל הרב שחר + קידום נוער + רמת אשכול)</t>
  </si>
  <si>
    <t>קרית מנחם</t>
  </si>
  <si>
    <t>רמות</t>
  </si>
  <si>
    <t>מעלה אדומים-מרב</t>
  </si>
  <si>
    <t>תל אביב</t>
  </si>
  <si>
    <t>קדימה</t>
  </si>
  <si>
    <t>בית שמש</t>
  </si>
  <si>
    <t>נחלאות רב שמעון</t>
  </si>
  <si>
    <t>שלומי קטמון</t>
  </si>
  <si>
    <t>סבתא רבקא</t>
  </si>
  <si>
    <t>כמות</t>
  </si>
  <si>
    <t>ממרח שוקולד 400 גרם</t>
  </si>
  <si>
    <t>רסק עגבניות 600 גרם</t>
  </si>
  <si>
    <t xml:space="preserve">טונה 160 גרם 2X  </t>
  </si>
  <si>
    <t>סוכר 1 ק"ג</t>
  </si>
  <si>
    <t>מצות 1 קג</t>
  </si>
  <si>
    <t>עוגיות לפסח</t>
  </si>
  <si>
    <t>שמן 1 ליטר- 2 יח' למשפחה</t>
  </si>
  <si>
    <t>קמח מצה</t>
  </si>
  <si>
    <t>פטריות</t>
  </si>
  <si>
    <t>קפה שחור</t>
  </si>
  <si>
    <t>אפרסק/אננס</t>
  </si>
  <si>
    <t>תה 100 שקיות</t>
  </si>
  <si>
    <t>מיץ ענבים - 2 יח' למשפחה</t>
  </si>
  <si>
    <t>מיץ ענבים - תרומה</t>
  </si>
  <si>
    <t>קמח תפוא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</si>
</sst>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 * #,##0.00_ ;_ * \-#,##0.00_ ;_ * &quot;-&quot;??_ ;_ @_ "/>
  </numFmts>
  <fonts count="7">
    <font>
      <sz val="11.0"/>
      <color theme="1"/>
      <name val="Arial"/>
      <scheme val="minor"/>
    </font>
    <font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/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EF2CB"/>
        <bgColor rgb="FFFEF2CB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1" fillId="0" fontId="1" numFmtId="0" xfId="0" applyBorder="1" applyFont="1"/>
    <xf borderId="1" fillId="2" fontId="1" numFmtId="0" xfId="0" applyAlignment="1" applyBorder="1" applyFill="1" applyFont="1">
      <alignment horizontal="center" shrinkToFit="0" wrapText="1"/>
    </xf>
    <xf borderId="1" fillId="0" fontId="3" numFmtId="0" xfId="0" applyAlignment="1" applyBorder="1" applyFont="1">
      <alignment horizontal="center"/>
    </xf>
    <xf borderId="0" fillId="0" fontId="1" numFmtId="0" xfId="0" applyFont="1"/>
    <xf borderId="1" fillId="3" fontId="1" numFmtId="0" xfId="0" applyAlignment="1" applyBorder="1" applyFill="1" applyFont="1">
      <alignment vertical="bottom"/>
    </xf>
    <xf borderId="1" fillId="0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readingOrder="0" vertical="bottom"/>
    </xf>
    <xf borderId="2" fillId="0" fontId="1" numFmtId="0" xfId="0" applyBorder="1" applyFont="1"/>
    <xf borderId="1" fillId="3" fontId="4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vertical="bottom"/>
    </xf>
    <xf borderId="3" fillId="0" fontId="6" numFmtId="0" xfId="0" applyBorder="1" applyFont="1"/>
    <xf borderId="1" fillId="0" fontId="1" numFmtId="0" xfId="0" applyAlignment="1" applyBorder="1" applyFont="1">
      <alignment vertical="bottom"/>
    </xf>
    <xf borderId="1" fillId="0" fontId="1" numFmtId="164" xfId="0" applyAlignment="1" applyBorder="1" applyFont="1" applyNumberFormat="1">
      <alignment vertical="bottom"/>
    </xf>
    <xf borderId="4" fillId="0" fontId="6" numFmtId="0" xfId="0" applyBorder="1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7.5"/>
    <col customWidth="1" min="2" max="2" width="28.25"/>
    <col customWidth="1" hidden="1" min="3" max="3" width="8.88"/>
    <col customWidth="1" min="4" max="5" width="8.88"/>
    <col customWidth="1" min="6" max="6" width="8.0"/>
    <col customWidth="1" min="7" max="7" width="14.63"/>
    <col customWidth="1" min="8" max="12" width="8.88"/>
    <col customWidth="1" min="13" max="13" width="11.25"/>
    <col customWidth="1" min="14" max="14" width="14.63"/>
    <col customWidth="1" min="15" max="15" width="14.25"/>
    <col customWidth="1" min="16" max="16" width="15.88"/>
    <col customWidth="1" min="17" max="17" width="9.13"/>
    <col customWidth="1" min="18" max="20" width="13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13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ht="13.5" customHeight="1">
      <c r="A3" s="2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ht="13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ht="68.25" customHeight="1">
      <c r="A5" s="3"/>
      <c r="B5" s="3"/>
      <c r="C5" s="4" t="s">
        <v>1</v>
      </c>
      <c r="D5" s="4" t="s">
        <v>2</v>
      </c>
      <c r="E5" s="4" t="s">
        <v>3</v>
      </c>
      <c r="F5" s="4" t="s">
        <v>4</v>
      </c>
      <c r="G5" s="4" t="s">
        <v>5</v>
      </c>
      <c r="H5" s="4" t="s">
        <v>6</v>
      </c>
      <c r="I5" s="4" t="s">
        <v>7</v>
      </c>
      <c r="J5" s="4" t="s">
        <v>8</v>
      </c>
      <c r="K5" s="4" t="s">
        <v>9</v>
      </c>
      <c r="L5" s="4" t="s">
        <v>10</v>
      </c>
      <c r="M5" s="4" t="s">
        <v>11</v>
      </c>
      <c r="N5" s="4" t="s">
        <v>12</v>
      </c>
      <c r="O5" s="4" t="s">
        <v>13</v>
      </c>
      <c r="P5" s="4" t="s">
        <v>14</v>
      </c>
      <c r="Q5" s="5" t="s">
        <v>15</v>
      </c>
      <c r="R5" s="1"/>
      <c r="S5" s="1"/>
      <c r="T5" s="6"/>
    </row>
    <row r="6" ht="13.5" customHeight="1">
      <c r="A6" s="3"/>
      <c r="B6" s="7"/>
      <c r="C6" s="8">
        <v>115.0</v>
      </c>
      <c r="D6" s="8">
        <v>76.0</v>
      </c>
      <c r="E6" s="8">
        <v>55.0</v>
      </c>
      <c r="F6" s="8">
        <v>85.0</v>
      </c>
      <c r="G6" s="8">
        <v>250.0</v>
      </c>
      <c r="H6" s="8">
        <v>150.0</v>
      </c>
      <c r="I6" s="8">
        <v>85.0</v>
      </c>
      <c r="J6" s="8">
        <v>80.0</v>
      </c>
      <c r="K6" s="8">
        <v>90.0</v>
      </c>
      <c r="L6" s="9">
        <v>75.0</v>
      </c>
      <c r="M6" s="8">
        <v>40.0</v>
      </c>
      <c r="N6" s="8">
        <v>50.0</v>
      </c>
      <c r="O6" s="8">
        <v>35.0</v>
      </c>
      <c r="P6" s="8">
        <v>80.0</v>
      </c>
      <c r="Q6" s="8">
        <f t="shared" ref="Q6:Q21" si="2">SUM(C6:P6)</f>
        <v>1266</v>
      </c>
      <c r="R6" s="1"/>
      <c r="S6" s="1"/>
      <c r="T6" s="1"/>
    </row>
    <row r="7" ht="13.5" customHeight="1">
      <c r="A7" s="10"/>
      <c r="B7" s="11" t="s">
        <v>16</v>
      </c>
      <c r="C7" s="12">
        <f t="shared" ref="C7:P7" si="1">C$6</f>
        <v>115</v>
      </c>
      <c r="D7" s="12">
        <f t="shared" si="1"/>
        <v>76</v>
      </c>
      <c r="E7" s="12">
        <f t="shared" si="1"/>
        <v>55</v>
      </c>
      <c r="F7" s="12">
        <f t="shared" si="1"/>
        <v>85</v>
      </c>
      <c r="G7" s="12">
        <f t="shared" si="1"/>
        <v>250</v>
      </c>
      <c r="H7" s="12">
        <f t="shared" si="1"/>
        <v>150</v>
      </c>
      <c r="I7" s="12">
        <f t="shared" si="1"/>
        <v>85</v>
      </c>
      <c r="J7" s="12">
        <f t="shared" si="1"/>
        <v>80</v>
      </c>
      <c r="K7" s="12">
        <f t="shared" si="1"/>
        <v>90</v>
      </c>
      <c r="L7" s="12">
        <f t="shared" si="1"/>
        <v>75</v>
      </c>
      <c r="M7" s="12">
        <f t="shared" si="1"/>
        <v>40</v>
      </c>
      <c r="N7" s="12">
        <f t="shared" si="1"/>
        <v>50</v>
      </c>
      <c r="O7" s="12">
        <f t="shared" si="1"/>
        <v>35</v>
      </c>
      <c r="P7" s="12">
        <f t="shared" si="1"/>
        <v>80</v>
      </c>
      <c r="Q7" s="12">
        <f t="shared" si="2"/>
        <v>1266</v>
      </c>
      <c r="R7" s="1"/>
      <c r="S7" s="1"/>
      <c r="T7" s="1"/>
    </row>
    <row r="8" ht="13.5" customHeight="1">
      <c r="A8" s="13"/>
      <c r="B8" s="11" t="s">
        <v>17</v>
      </c>
      <c r="C8" s="12">
        <f t="shared" ref="C8:H8" si="3">C$6</f>
        <v>115</v>
      </c>
      <c r="D8" s="12">
        <f t="shared" si="3"/>
        <v>76</v>
      </c>
      <c r="E8" s="12">
        <f t="shared" si="3"/>
        <v>55</v>
      </c>
      <c r="F8" s="12">
        <f t="shared" si="3"/>
        <v>85</v>
      </c>
      <c r="G8" s="12">
        <f t="shared" si="3"/>
        <v>250</v>
      </c>
      <c r="H8" s="12">
        <f t="shared" si="3"/>
        <v>150</v>
      </c>
      <c r="I8" s="12">
        <f>I$6*2</f>
        <v>170</v>
      </c>
      <c r="J8" s="12">
        <f t="shared" ref="J8:P8" si="4">J$6</f>
        <v>80</v>
      </c>
      <c r="K8" s="12">
        <f t="shared" si="4"/>
        <v>90</v>
      </c>
      <c r="L8" s="12">
        <f t="shared" si="4"/>
        <v>75</v>
      </c>
      <c r="M8" s="12">
        <f t="shared" si="4"/>
        <v>40</v>
      </c>
      <c r="N8" s="12">
        <f t="shared" si="4"/>
        <v>50</v>
      </c>
      <c r="O8" s="12">
        <f t="shared" si="4"/>
        <v>35</v>
      </c>
      <c r="P8" s="12">
        <f t="shared" si="4"/>
        <v>80</v>
      </c>
      <c r="Q8" s="12">
        <f t="shared" si="2"/>
        <v>1351</v>
      </c>
      <c r="R8" s="1"/>
      <c r="S8" s="1"/>
      <c r="T8" s="1"/>
    </row>
    <row r="9" ht="13.5" customHeight="1">
      <c r="A9" s="13"/>
      <c r="B9" s="11" t="s">
        <v>18</v>
      </c>
      <c r="C9" s="12">
        <f t="shared" ref="C9:J9" si="5">2*(C$6)</f>
        <v>230</v>
      </c>
      <c r="D9" s="12">
        <f t="shared" si="5"/>
        <v>152</v>
      </c>
      <c r="E9" s="12">
        <f t="shared" si="5"/>
        <v>110</v>
      </c>
      <c r="F9" s="12">
        <f t="shared" si="5"/>
        <v>170</v>
      </c>
      <c r="G9" s="12">
        <f t="shared" si="5"/>
        <v>500</v>
      </c>
      <c r="H9" s="12">
        <f t="shared" si="5"/>
        <v>300</v>
      </c>
      <c r="I9" s="12">
        <f t="shared" si="5"/>
        <v>170</v>
      </c>
      <c r="J9" s="12">
        <f t="shared" si="5"/>
        <v>160</v>
      </c>
      <c r="K9" s="12">
        <v>180.0</v>
      </c>
      <c r="L9" s="12">
        <f t="shared" ref="L9:P9" si="6">2*(L$6)</f>
        <v>150</v>
      </c>
      <c r="M9" s="12">
        <f t="shared" si="6"/>
        <v>80</v>
      </c>
      <c r="N9" s="12">
        <f t="shared" si="6"/>
        <v>100</v>
      </c>
      <c r="O9" s="12">
        <f t="shared" si="6"/>
        <v>70</v>
      </c>
      <c r="P9" s="12">
        <f t="shared" si="6"/>
        <v>160</v>
      </c>
      <c r="Q9" s="12">
        <f t="shared" si="2"/>
        <v>2532</v>
      </c>
      <c r="R9" s="1"/>
      <c r="S9" s="1"/>
      <c r="T9" s="1"/>
    </row>
    <row r="10" ht="13.5" customHeight="1">
      <c r="A10" s="13"/>
      <c r="B10" s="11" t="s">
        <v>19</v>
      </c>
      <c r="C10" s="12">
        <f t="shared" ref="C10:P10" si="7">C$6</f>
        <v>115</v>
      </c>
      <c r="D10" s="12">
        <f t="shared" si="7"/>
        <v>76</v>
      </c>
      <c r="E10" s="12">
        <f t="shared" si="7"/>
        <v>55</v>
      </c>
      <c r="F10" s="12">
        <f t="shared" si="7"/>
        <v>85</v>
      </c>
      <c r="G10" s="12">
        <f t="shared" si="7"/>
        <v>250</v>
      </c>
      <c r="H10" s="12">
        <f t="shared" si="7"/>
        <v>150</v>
      </c>
      <c r="I10" s="12">
        <f t="shared" si="7"/>
        <v>85</v>
      </c>
      <c r="J10" s="12">
        <f t="shared" si="7"/>
        <v>80</v>
      </c>
      <c r="K10" s="12">
        <f t="shared" si="7"/>
        <v>90</v>
      </c>
      <c r="L10" s="12">
        <f t="shared" si="7"/>
        <v>75</v>
      </c>
      <c r="M10" s="12">
        <f t="shared" si="7"/>
        <v>40</v>
      </c>
      <c r="N10" s="12">
        <f t="shared" si="7"/>
        <v>50</v>
      </c>
      <c r="O10" s="12">
        <f t="shared" si="7"/>
        <v>35</v>
      </c>
      <c r="P10" s="12">
        <f t="shared" si="7"/>
        <v>80</v>
      </c>
      <c r="Q10" s="12">
        <f t="shared" si="2"/>
        <v>1266</v>
      </c>
      <c r="R10" s="1"/>
      <c r="S10" s="1"/>
      <c r="T10" s="1"/>
    </row>
    <row r="11" ht="13.5" customHeight="1">
      <c r="A11" s="13"/>
      <c r="B11" s="11" t="s">
        <v>20</v>
      </c>
      <c r="C11" s="12">
        <f t="shared" ref="C11:P11" si="8">C$6</f>
        <v>115</v>
      </c>
      <c r="D11" s="12">
        <f t="shared" si="8"/>
        <v>76</v>
      </c>
      <c r="E11" s="12">
        <f t="shared" si="8"/>
        <v>55</v>
      </c>
      <c r="F11" s="12">
        <f t="shared" si="8"/>
        <v>85</v>
      </c>
      <c r="G11" s="12">
        <f t="shared" si="8"/>
        <v>250</v>
      </c>
      <c r="H11" s="12">
        <f t="shared" si="8"/>
        <v>150</v>
      </c>
      <c r="I11" s="12">
        <f t="shared" si="8"/>
        <v>85</v>
      </c>
      <c r="J11" s="12">
        <f t="shared" si="8"/>
        <v>80</v>
      </c>
      <c r="K11" s="12">
        <f t="shared" si="8"/>
        <v>90</v>
      </c>
      <c r="L11" s="12">
        <f t="shared" si="8"/>
        <v>75</v>
      </c>
      <c r="M11" s="12">
        <f t="shared" si="8"/>
        <v>40</v>
      </c>
      <c r="N11" s="12">
        <f t="shared" si="8"/>
        <v>50</v>
      </c>
      <c r="O11" s="12">
        <f t="shared" si="8"/>
        <v>35</v>
      </c>
      <c r="P11" s="12">
        <f t="shared" si="8"/>
        <v>80</v>
      </c>
      <c r="Q11" s="12">
        <f t="shared" si="2"/>
        <v>1266</v>
      </c>
      <c r="R11" s="1"/>
      <c r="S11" s="1"/>
      <c r="T11" s="1"/>
    </row>
    <row r="12" ht="13.5" customHeight="1">
      <c r="A12" s="13"/>
      <c r="B12" s="11" t="s">
        <v>21</v>
      </c>
      <c r="C12" s="12">
        <f t="shared" ref="C12:P12" si="9">C$6</f>
        <v>115</v>
      </c>
      <c r="D12" s="12">
        <f t="shared" si="9"/>
        <v>76</v>
      </c>
      <c r="E12" s="12">
        <f t="shared" si="9"/>
        <v>55</v>
      </c>
      <c r="F12" s="12">
        <f t="shared" si="9"/>
        <v>85</v>
      </c>
      <c r="G12" s="12">
        <f t="shared" si="9"/>
        <v>250</v>
      </c>
      <c r="H12" s="12">
        <f t="shared" si="9"/>
        <v>150</v>
      </c>
      <c r="I12" s="12">
        <f t="shared" si="9"/>
        <v>85</v>
      </c>
      <c r="J12" s="12">
        <f t="shared" si="9"/>
        <v>80</v>
      </c>
      <c r="K12" s="12">
        <f t="shared" si="9"/>
        <v>90</v>
      </c>
      <c r="L12" s="12">
        <f t="shared" si="9"/>
        <v>75</v>
      </c>
      <c r="M12" s="12">
        <f t="shared" si="9"/>
        <v>40</v>
      </c>
      <c r="N12" s="12">
        <f t="shared" si="9"/>
        <v>50</v>
      </c>
      <c r="O12" s="12">
        <f t="shared" si="9"/>
        <v>35</v>
      </c>
      <c r="P12" s="12">
        <f t="shared" si="9"/>
        <v>80</v>
      </c>
      <c r="Q12" s="12">
        <f t="shared" si="2"/>
        <v>1266</v>
      </c>
      <c r="R12" s="1"/>
      <c r="S12" s="1"/>
      <c r="T12" s="1"/>
    </row>
    <row r="13" ht="13.5" customHeight="1">
      <c r="A13" s="13"/>
      <c r="B13" s="11" t="s">
        <v>22</v>
      </c>
      <c r="C13" s="12">
        <f t="shared" ref="C13:M13" si="10">2*(C$6)</f>
        <v>230</v>
      </c>
      <c r="D13" s="12">
        <f t="shared" si="10"/>
        <v>152</v>
      </c>
      <c r="E13" s="12">
        <f t="shared" si="10"/>
        <v>110</v>
      </c>
      <c r="F13" s="12">
        <f t="shared" si="10"/>
        <v>170</v>
      </c>
      <c r="G13" s="12">
        <f t="shared" si="10"/>
        <v>500</v>
      </c>
      <c r="H13" s="12">
        <f t="shared" si="10"/>
        <v>300</v>
      </c>
      <c r="I13" s="12">
        <f t="shared" si="10"/>
        <v>170</v>
      </c>
      <c r="J13" s="12">
        <f t="shared" si="10"/>
        <v>160</v>
      </c>
      <c r="K13" s="12">
        <f t="shared" si="10"/>
        <v>180</v>
      </c>
      <c r="L13" s="12">
        <f t="shared" si="10"/>
        <v>150</v>
      </c>
      <c r="M13" s="12">
        <f t="shared" si="10"/>
        <v>80</v>
      </c>
      <c r="N13" s="12">
        <f t="shared" ref="N13:P13" si="11">N$6</f>
        <v>50</v>
      </c>
      <c r="O13" s="12">
        <f t="shared" si="11"/>
        <v>35</v>
      </c>
      <c r="P13" s="12">
        <f t="shared" si="11"/>
        <v>80</v>
      </c>
      <c r="Q13" s="12">
        <f t="shared" si="2"/>
        <v>2367</v>
      </c>
      <c r="R13" s="1"/>
      <c r="S13" s="1"/>
      <c r="T13" s="1"/>
    </row>
    <row r="14" ht="13.5" customHeight="1">
      <c r="A14" s="13"/>
      <c r="B14" s="11" t="s">
        <v>23</v>
      </c>
      <c r="C14" s="12">
        <f t="shared" ref="C14:P14" si="12">C$6</f>
        <v>115</v>
      </c>
      <c r="D14" s="12">
        <f t="shared" si="12"/>
        <v>76</v>
      </c>
      <c r="E14" s="12">
        <f t="shared" si="12"/>
        <v>55</v>
      </c>
      <c r="F14" s="12">
        <f t="shared" si="12"/>
        <v>85</v>
      </c>
      <c r="G14" s="12">
        <f t="shared" si="12"/>
        <v>250</v>
      </c>
      <c r="H14" s="12">
        <f t="shared" si="12"/>
        <v>150</v>
      </c>
      <c r="I14" s="12">
        <f t="shared" si="12"/>
        <v>85</v>
      </c>
      <c r="J14" s="12">
        <f t="shared" si="12"/>
        <v>80</v>
      </c>
      <c r="K14" s="12">
        <f t="shared" si="12"/>
        <v>90</v>
      </c>
      <c r="L14" s="12">
        <f t="shared" si="12"/>
        <v>75</v>
      </c>
      <c r="M14" s="12">
        <f t="shared" si="12"/>
        <v>40</v>
      </c>
      <c r="N14" s="12">
        <f t="shared" si="12"/>
        <v>50</v>
      </c>
      <c r="O14" s="12">
        <f t="shared" si="12"/>
        <v>35</v>
      </c>
      <c r="P14" s="12">
        <f t="shared" si="12"/>
        <v>80</v>
      </c>
      <c r="Q14" s="12">
        <f t="shared" si="2"/>
        <v>1266</v>
      </c>
      <c r="R14" s="1"/>
      <c r="S14" s="1"/>
      <c r="T14" s="1"/>
    </row>
    <row r="15" ht="13.5" customHeight="1">
      <c r="A15" s="13"/>
      <c r="B15" s="11" t="s">
        <v>24</v>
      </c>
      <c r="C15" s="12">
        <v>0.0</v>
      </c>
      <c r="D15" s="12">
        <v>0.0</v>
      </c>
      <c r="E15" s="12">
        <v>0.0</v>
      </c>
      <c r="F15" s="12">
        <v>0.0</v>
      </c>
      <c r="G15" s="12">
        <v>0.0</v>
      </c>
      <c r="H15" s="12">
        <v>0.0</v>
      </c>
      <c r="I15" s="12">
        <f>I$6</f>
        <v>85</v>
      </c>
      <c r="J15" s="12">
        <v>0.0</v>
      </c>
      <c r="K15" s="12">
        <v>0.0</v>
      </c>
      <c r="L15" s="12">
        <v>0.0</v>
      </c>
      <c r="M15" s="12">
        <v>0.0</v>
      </c>
      <c r="N15" s="12">
        <v>0.0</v>
      </c>
      <c r="O15" s="12">
        <v>0.0</v>
      </c>
      <c r="P15" s="12">
        <v>0.0</v>
      </c>
      <c r="Q15" s="12">
        <f t="shared" si="2"/>
        <v>85</v>
      </c>
      <c r="R15" s="1"/>
      <c r="S15" s="1"/>
      <c r="T15" s="1"/>
    </row>
    <row r="16" ht="13.5" customHeight="1">
      <c r="A16" s="13"/>
      <c r="B16" s="11" t="s">
        <v>25</v>
      </c>
      <c r="C16" s="14"/>
      <c r="D16" s="15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2">
        <f t="shared" si="2"/>
        <v>0</v>
      </c>
      <c r="R16" s="1"/>
      <c r="S16" s="1"/>
      <c r="T16" s="1"/>
    </row>
    <row r="17" ht="13.5" customHeight="1">
      <c r="A17" s="13"/>
      <c r="B17" s="11" t="s">
        <v>26</v>
      </c>
      <c r="C17" s="14"/>
      <c r="D17" s="15"/>
      <c r="E17" s="14"/>
      <c r="F17" s="14"/>
      <c r="G17" s="14"/>
      <c r="H17" s="14"/>
      <c r="I17" s="12">
        <f>I$6</f>
        <v>85</v>
      </c>
      <c r="J17" s="14"/>
      <c r="K17" s="14"/>
      <c r="L17" s="14"/>
      <c r="M17" s="14"/>
      <c r="N17" s="14"/>
      <c r="O17" s="14"/>
      <c r="P17" s="14"/>
      <c r="Q17" s="12">
        <f t="shared" si="2"/>
        <v>85</v>
      </c>
      <c r="R17" s="1"/>
      <c r="S17" s="1"/>
      <c r="T17" s="1"/>
    </row>
    <row r="18" ht="13.5" customHeight="1">
      <c r="A18" s="13"/>
      <c r="B18" s="11" t="s">
        <v>27</v>
      </c>
      <c r="C18" s="12">
        <f t="shared" ref="C18:P18" si="13">C$6</f>
        <v>115</v>
      </c>
      <c r="D18" s="12">
        <f t="shared" si="13"/>
        <v>76</v>
      </c>
      <c r="E18" s="12">
        <f t="shared" si="13"/>
        <v>55</v>
      </c>
      <c r="F18" s="12">
        <f t="shared" si="13"/>
        <v>85</v>
      </c>
      <c r="G18" s="12">
        <f t="shared" si="13"/>
        <v>250</v>
      </c>
      <c r="H18" s="12">
        <f t="shared" si="13"/>
        <v>150</v>
      </c>
      <c r="I18" s="12">
        <f t="shared" si="13"/>
        <v>85</v>
      </c>
      <c r="J18" s="12">
        <f t="shared" si="13"/>
        <v>80</v>
      </c>
      <c r="K18" s="12">
        <f t="shared" si="13"/>
        <v>90</v>
      </c>
      <c r="L18" s="12">
        <f t="shared" si="13"/>
        <v>75</v>
      </c>
      <c r="M18" s="12">
        <f t="shared" si="13"/>
        <v>40</v>
      </c>
      <c r="N18" s="12">
        <f t="shared" si="13"/>
        <v>50</v>
      </c>
      <c r="O18" s="12">
        <f t="shared" si="13"/>
        <v>35</v>
      </c>
      <c r="P18" s="12">
        <f t="shared" si="13"/>
        <v>80</v>
      </c>
      <c r="Q18" s="12">
        <f t="shared" si="2"/>
        <v>1266</v>
      </c>
      <c r="R18" s="1"/>
      <c r="S18" s="1"/>
      <c r="T18" s="1"/>
    </row>
    <row r="19" ht="13.5" customHeight="1">
      <c r="A19" s="16"/>
      <c r="B19" s="11" t="s">
        <v>28</v>
      </c>
      <c r="C19" s="12">
        <f t="shared" ref="C19:P19" si="14">2*(C$6)</f>
        <v>230</v>
      </c>
      <c r="D19" s="12">
        <f t="shared" si="14"/>
        <v>152</v>
      </c>
      <c r="E19" s="12">
        <f t="shared" si="14"/>
        <v>110</v>
      </c>
      <c r="F19" s="12">
        <f t="shared" si="14"/>
        <v>170</v>
      </c>
      <c r="G19" s="12">
        <f t="shared" si="14"/>
        <v>500</v>
      </c>
      <c r="H19" s="12">
        <f t="shared" si="14"/>
        <v>300</v>
      </c>
      <c r="I19" s="12">
        <f t="shared" si="14"/>
        <v>170</v>
      </c>
      <c r="J19" s="12">
        <f t="shared" si="14"/>
        <v>160</v>
      </c>
      <c r="K19" s="12">
        <f t="shared" si="14"/>
        <v>180</v>
      </c>
      <c r="L19" s="12">
        <f t="shared" si="14"/>
        <v>150</v>
      </c>
      <c r="M19" s="12">
        <f t="shared" si="14"/>
        <v>80</v>
      </c>
      <c r="N19" s="12">
        <f t="shared" si="14"/>
        <v>100</v>
      </c>
      <c r="O19" s="12">
        <f t="shared" si="14"/>
        <v>70</v>
      </c>
      <c r="P19" s="12">
        <f t="shared" si="14"/>
        <v>160</v>
      </c>
      <c r="Q19" s="12">
        <f t="shared" si="2"/>
        <v>2532</v>
      </c>
      <c r="R19" s="1"/>
      <c r="S19" s="1"/>
      <c r="T19" s="1"/>
    </row>
    <row r="20" ht="13.5" customHeight="1">
      <c r="A20" s="3"/>
      <c r="B20" s="11" t="s">
        <v>29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2">
        <f t="shared" si="2"/>
        <v>0</v>
      </c>
      <c r="R20" s="1"/>
      <c r="S20" s="1"/>
      <c r="T20" s="1"/>
    </row>
    <row r="21" ht="18.0" customHeight="1">
      <c r="A21" s="3"/>
      <c r="B21" s="11" t="s">
        <v>30</v>
      </c>
      <c r="C21" s="12">
        <f t="shared" ref="C21:P21" si="15">C$6</f>
        <v>115</v>
      </c>
      <c r="D21" s="12">
        <f t="shared" si="15"/>
        <v>76</v>
      </c>
      <c r="E21" s="12">
        <f t="shared" si="15"/>
        <v>55</v>
      </c>
      <c r="F21" s="12">
        <f t="shared" si="15"/>
        <v>85</v>
      </c>
      <c r="G21" s="12">
        <f t="shared" si="15"/>
        <v>250</v>
      </c>
      <c r="H21" s="12">
        <f t="shared" si="15"/>
        <v>150</v>
      </c>
      <c r="I21" s="12">
        <f t="shared" si="15"/>
        <v>85</v>
      </c>
      <c r="J21" s="12">
        <f t="shared" si="15"/>
        <v>80</v>
      </c>
      <c r="K21" s="12">
        <f t="shared" si="15"/>
        <v>90</v>
      </c>
      <c r="L21" s="12">
        <f t="shared" si="15"/>
        <v>75</v>
      </c>
      <c r="M21" s="12">
        <f t="shared" si="15"/>
        <v>40</v>
      </c>
      <c r="N21" s="12">
        <f t="shared" si="15"/>
        <v>50</v>
      </c>
      <c r="O21" s="12">
        <f t="shared" si="15"/>
        <v>35</v>
      </c>
      <c r="P21" s="12">
        <f t="shared" si="15"/>
        <v>80</v>
      </c>
      <c r="Q21" s="12">
        <f t="shared" si="2"/>
        <v>1266</v>
      </c>
      <c r="R21" s="1"/>
      <c r="S21" s="1"/>
      <c r="T21" s="1"/>
    </row>
    <row r="22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</sheetData>
  <mergeCells count="1">
    <mergeCell ref="A7:A19"/>
  </mergeCells>
  <printOptions/>
  <pageMargins bottom="0.75" footer="0.0" header="0.0" left="0.7" right="0.7" top="0.75"/>
  <pageSetup paperSize="9"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2017-03-05T14:08:19Z</dcterms:created>
  <dc:creator>User</dc:creator>
</cp:coreProperties>
</file>