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</sheets>
  <definedNames/>
  <calcPr/>
  <extLst>
    <ext uri="GoogleSheetsCustomDataVersion2">
      <go:sheetsCustomData xmlns:go="http://customooxmlschemas.google.com/" r:id="rId5" roundtripDataChecksum="amvo9pjbxWi3OF9GxbWpNRoCErsMXx5iyd8mdZwjJp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======
ID#AAAB0PbOPnY
יובל סעדון    (2026-02-16 08:39:49)
יורד בקטמון- 60 [שזה כולל את הרב שחר (20), חולי (10), שלומי (5), מאיר (15), דואר (20)] + קידום נוער (40) +רמת אשכול (10)</t>
      </text>
    </comment>
  </commentList>
  <extLst>
    <ext uri="GoogleSheetsCustomDataVersion2">
      <go:sheetsCustomData xmlns:go="http://customooxmlschemas.google.com/" r:id="rId1" roundtripDataSignature="AMtx7mh0Kq1sVtLK1rY4iswmP7tzbqz/KA=="/>
    </ext>
  </extLst>
</comments>
</file>

<file path=xl/sharedStrings.xml><?xml version="1.0" encoding="utf-8"?>
<sst xmlns="http://schemas.openxmlformats.org/spreadsheetml/2006/main" count="21" uniqueCount="19">
  <si>
    <t>פסח 2026 שכן טוב</t>
  </si>
  <si>
    <t>אריזות 2025</t>
  </si>
  <si>
    <t>סהכ אריזות 2025</t>
  </si>
  <si>
    <t>בקעה</t>
  </si>
  <si>
    <t>גילה</t>
  </si>
  <si>
    <t>נווה יעקב</t>
  </si>
  <si>
    <t>נחלאות</t>
  </si>
  <si>
    <t>קטמון (כולל הרב שחר + קידום נוער + רמת אשכול)</t>
  </si>
  <si>
    <t>קרית מנחם</t>
  </si>
  <si>
    <t>רמות</t>
  </si>
  <si>
    <t>כמות סהכ</t>
  </si>
  <si>
    <t>מחיר 24</t>
  </si>
  <si>
    <t>סהכ כולל מעמ</t>
  </si>
  <si>
    <t>מחיר ברוכים לפני מעמ</t>
  </si>
  <si>
    <t>ברוכים אחרי מעמ</t>
  </si>
  <si>
    <t>סהכ ברוכים</t>
  </si>
  <si>
    <t>עוף שלם</t>
  </si>
  <si>
    <t>עוף טחון</t>
  </si>
  <si>
    <t>תאריך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</si>
</sst>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rial"/>
      <scheme val="minor"/>
    </font>
    <font>
      <sz val="11.0"/>
      <color theme="1"/>
      <name val="Arial"/>
    </font>
    <font>
      <b/>
      <u/>
      <sz val="11.0"/>
      <color theme="1"/>
      <name val="Arial"/>
    </font>
    <font>
      <color theme="1"/>
      <name val="Arial"/>
    </font>
    <font>
      <b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4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/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 readingOrder="0"/>
    </xf>
    <xf borderId="1" fillId="2" fontId="3" numFmtId="0" xfId="0" applyAlignment="1" applyBorder="1" applyFill="1" applyFont="1">
      <alignment readingOrder="0"/>
    </xf>
    <xf borderId="1" fillId="2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 readingOrder="0" vertical="center"/>
    </xf>
    <xf borderId="1" fillId="5" fontId="9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2" fillId="0" fontId="10" numFmtId="0" xfId="0" applyAlignment="1" applyBorder="1" applyFont="1">
      <alignment horizontal="center" textRotation="90" vertical="center"/>
    </xf>
    <xf borderId="1" fillId="6" fontId="11" numFmtId="0" xfId="0" applyAlignment="1" applyBorder="1" applyFill="1" applyFont="1">
      <alignment horizontal="center" readingOrder="0"/>
    </xf>
    <xf borderId="1" fillId="0" fontId="12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4" fontId="12" numFmtId="0" xfId="0" applyAlignment="1" applyBorder="1" applyFont="1">
      <alignment horizontal="center"/>
    </xf>
    <xf borderId="1" fillId="2" fontId="12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/>
    </xf>
    <xf borderId="1" fillId="5" fontId="12" numFmtId="0" xfId="0" applyAlignment="1" applyBorder="1" applyFont="1">
      <alignment horizontal="center"/>
    </xf>
    <xf borderId="3" fillId="0" fontId="13" numFmtId="0" xfId="0" applyBorder="1" applyFont="1"/>
    <xf borderId="1" fillId="0" fontId="1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1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7.5"/>
    <col customWidth="1" min="2" max="2" width="28.25"/>
    <col customWidth="1" min="3" max="5" width="8.88"/>
    <col customWidth="1" min="6" max="6" width="8.0"/>
    <col customWidth="1" min="7" max="7" width="14.63"/>
    <col customWidth="1" min="8" max="9" width="8.88"/>
    <col customWidth="1" min="10" max="10" width="9.13"/>
    <col customWidth="1" hidden="1" min="11" max="12" width="14.5"/>
    <col customWidth="1" hidden="1" min="13" max="13" width="26.13"/>
    <col customWidth="1" hidden="1" min="14" max="14" width="22.0"/>
    <col customWidth="1" hidden="1" min="15" max="15" width="20.75"/>
    <col customWidth="1" hidden="1" min="16" max="16" width="19.13"/>
    <col customWidth="1" hidden="1" min="17" max="17" width="9.75"/>
    <col customWidth="1" min="18" max="18" width="8.88"/>
    <col customWidth="1" min="19" max="19" width="17.25"/>
    <col customWidth="1" min="20" max="20" width="26.0"/>
    <col customWidth="1" min="21" max="21" width="13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3.5" customHeight="1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 t="s">
        <v>1</v>
      </c>
      <c r="N4" s="4" t="s">
        <v>2</v>
      </c>
      <c r="O4" s="1"/>
      <c r="P4" s="1"/>
      <c r="Q4" s="1"/>
      <c r="R4" s="1"/>
      <c r="S4" s="1"/>
      <c r="T4" s="1"/>
      <c r="U4" s="1"/>
    </row>
    <row r="5" ht="68.25" customHeight="1">
      <c r="A5" s="5"/>
      <c r="B5" s="6"/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8" t="s">
        <v>10</v>
      </c>
      <c r="K5" s="9" t="s">
        <v>11</v>
      </c>
      <c r="L5" s="9" t="s">
        <v>12</v>
      </c>
      <c r="M5" s="10" t="s">
        <v>1</v>
      </c>
      <c r="N5" s="11" t="s">
        <v>2</v>
      </c>
      <c r="O5" s="12" t="s">
        <v>13</v>
      </c>
      <c r="P5" s="12" t="s">
        <v>14</v>
      </c>
      <c r="Q5" s="12" t="s">
        <v>15</v>
      </c>
      <c r="U5" s="13"/>
    </row>
    <row r="6" ht="13.5" customHeight="1">
      <c r="A6" s="14"/>
      <c r="B6" s="15" t="s">
        <v>16</v>
      </c>
      <c r="C6" s="16">
        <v>65.0</v>
      </c>
      <c r="D6" s="16">
        <v>76.0</v>
      </c>
      <c r="E6" s="16">
        <v>30.0</v>
      </c>
      <c r="F6" s="16">
        <v>40.0</v>
      </c>
      <c r="G6" s="16">
        <v>112.0</v>
      </c>
      <c r="H6" s="16">
        <v>75.0</v>
      </c>
      <c r="I6" s="16">
        <v>85.0</v>
      </c>
      <c r="J6" s="17">
        <f t="shared" ref="J6:J7" si="1">SUM(C6:I6)</f>
        <v>483</v>
      </c>
      <c r="K6" s="18">
        <f>16.9*1.95*1.18</f>
        <v>38.8869</v>
      </c>
      <c r="L6" s="18">
        <f t="shared" ref="L6:L7" si="2">J6*K6</f>
        <v>18782.3727</v>
      </c>
      <c r="M6" s="19">
        <f>16.9*1.9*1.18</f>
        <v>37.8898</v>
      </c>
      <c r="N6" s="20">
        <f t="shared" ref="N6:N7" si="3">M6*J6</f>
        <v>18300.7734</v>
      </c>
      <c r="O6" s="21"/>
      <c r="P6" s="22">
        <f>16.9*1.18*1.9</f>
        <v>37.8898</v>
      </c>
      <c r="Q6" s="21">
        <f t="shared" ref="Q6:Q7" si="4">J6*P6</f>
        <v>18300.7734</v>
      </c>
      <c r="U6" s="1"/>
    </row>
    <row r="7" ht="13.5" customHeight="1">
      <c r="A7" s="23"/>
      <c r="B7" s="15" t="s">
        <v>17</v>
      </c>
      <c r="C7" s="16">
        <v>50.0</v>
      </c>
      <c r="D7" s="16">
        <v>0.0</v>
      </c>
      <c r="E7" s="24">
        <v>25.0</v>
      </c>
      <c r="F7" s="24">
        <v>45.0</v>
      </c>
      <c r="G7" s="16"/>
      <c r="H7" s="24">
        <v>75.0</v>
      </c>
      <c r="I7" s="16"/>
      <c r="J7" s="17">
        <f t="shared" si="1"/>
        <v>195</v>
      </c>
      <c r="K7" s="18">
        <v>20.0</v>
      </c>
      <c r="L7" s="18">
        <f t="shared" si="2"/>
        <v>3900</v>
      </c>
      <c r="M7" s="19">
        <v>20.0</v>
      </c>
      <c r="N7" s="20">
        <f t="shared" si="3"/>
        <v>3900</v>
      </c>
      <c r="O7" s="21"/>
      <c r="P7" s="22">
        <v>20.0</v>
      </c>
      <c r="Q7" s="21">
        <f t="shared" si="4"/>
        <v>3900</v>
      </c>
      <c r="U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3.5" customHeight="1">
      <c r="A9" s="1"/>
      <c r="B9" s="25" t="s">
        <v>18</v>
      </c>
      <c r="C9" s="1"/>
      <c r="D9" s="26">
        <v>25.3</v>
      </c>
      <c r="E9" s="26">
        <v>25.3</v>
      </c>
      <c r="F9" s="26">
        <v>26.3</v>
      </c>
      <c r="G9" s="26">
        <v>29.3</v>
      </c>
      <c r="H9" s="26">
        <v>30.3</v>
      </c>
      <c r="I9" s="26">
        <v>23.3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</sheetData>
  <mergeCells count="1">
    <mergeCell ref="A6:A7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2017-03-05T14:08:19Z</dcterms:created>
  <dc:creator>User</dc:creator>
</cp:coreProperties>
</file>