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פרטי קשר ומיקומי סניפים" sheetId="2" r:id="rId5"/>
  </sheets>
  <definedNames/>
  <calcPr/>
  <extLst>
    <ext uri="GoogleSheetsCustomDataVersion2">
      <go:sheetsCustomData xmlns:go="http://customooxmlschemas.google.com/" r:id="rId6" roundtripDataChecksum="u4i5UeNhNKpAoV0AAgGm986/ZWdHkw9X/DiNX73leu8="/>
    </ext>
  </extLst>
</workbook>
</file>

<file path=xl/sharedStrings.xml><?xml version="1.0" encoding="utf-8"?>
<sst xmlns="http://schemas.openxmlformats.org/spreadsheetml/2006/main" count="72" uniqueCount="66">
  <si>
    <t>כמויות לפי סניפים - הזמנה חצי שנתית</t>
  </si>
  <si>
    <t>מוצרים/סניף</t>
  </si>
  <si>
    <t>קטמון</t>
  </si>
  <si>
    <t>נחלאות</t>
  </si>
  <si>
    <t>קריית מנחם</t>
  </si>
  <si>
    <t>רמות</t>
  </si>
  <si>
    <t>גילה</t>
  </si>
  <si>
    <t>בקעה</t>
  </si>
  <si>
    <t>נווה יעקב</t>
  </si>
  <si>
    <t>כמות</t>
  </si>
  <si>
    <t>כמות סלים שבועית</t>
  </si>
  <si>
    <t>כמות משפחות גדולות שבועית</t>
  </si>
  <si>
    <t>סל א</t>
  </si>
  <si>
    <t>אורז</t>
  </si>
  <si>
    <t>טונה</t>
  </si>
  <si>
    <t>תירס</t>
  </si>
  <si>
    <t>שמן</t>
  </si>
  <si>
    <t>גריסים</t>
  </si>
  <si>
    <t>פתיתים</t>
  </si>
  <si>
    <t>הרחבה סל א</t>
  </si>
  <si>
    <t>קמח</t>
  </si>
  <si>
    <t>סוכר</t>
  </si>
  <si>
    <t>סל ב</t>
  </si>
  <si>
    <t>מיץ ענבים (תרומה)</t>
  </si>
  <si>
    <t>אפונה</t>
  </si>
  <si>
    <t>חומוס</t>
  </si>
  <si>
    <t>קוסקוס</t>
  </si>
  <si>
    <t>בורגול</t>
  </si>
  <si>
    <t>פטריות</t>
  </si>
  <si>
    <t>טחינה</t>
  </si>
  <si>
    <t>הרחבה סל ב</t>
  </si>
  <si>
    <t>שוקולד</t>
  </si>
  <si>
    <t>רסק</t>
  </si>
  <si>
    <t>מס' סניף</t>
  </si>
  <si>
    <t>סניף</t>
  </si>
  <si>
    <t>שם הרכז</t>
  </si>
  <si>
    <t>טלפון רכז</t>
  </si>
  <si>
    <t>כתובת סניף</t>
  </si>
  <si>
    <t>יוחאי אבוטבול</t>
  </si>
  <si>
    <t>סניף עזרא, רחוב הצפירה 27, בקעה, ירושלים</t>
  </si>
  <si>
    <t>שירי תהילה</t>
  </si>
  <si>
    <t>בית ספר ארץ הצבי, גילה, ירושלים</t>
  </si>
  <si>
    <t>לאה ליבנת</t>
  </si>
  <si>
    <t>נעמי</t>
  </si>
  <si>
    <t>052-3301495</t>
  </si>
  <si>
    <t>רח' יצחק טבנקין 5-6, נווה יעקב, ירושלים</t>
  </si>
  <si>
    <t>עוז בינר</t>
  </si>
  <si>
    <t>054-726-3660</t>
  </si>
  <si>
    <t>בית ספר דוגמא, רח' יוסף קפאח 20 (לשעבר רח' לוד), נחלאות, ירושלים</t>
  </si>
  <si>
    <t>הדס</t>
  </si>
  <si>
    <t>052-376-3246</t>
  </si>
  <si>
    <t>ציפי</t>
  </si>
  <si>
    <t>050-211-4502</t>
  </si>
  <si>
    <t>בית ספר קשת, רח' אלכסנדריון 23 (בחניון), ירושלים</t>
  </si>
  <si>
    <t>אסתי בראור</t>
  </si>
  <si>
    <t>052-538-9994</t>
  </si>
  <si>
    <t>אביטל עזיז</t>
  </si>
  <si>
    <t>כרמל קרופפלד</t>
  </si>
  <si>
    <t>054-695-4475</t>
  </si>
  <si>
    <t>קרית מנחם</t>
  </si>
  <si>
    <t>אלישי בר טימור</t>
  </si>
  <si>
    <t>פנימיית בי"ס בויאר, רח' תורה ועבודה 1, בית וגן, ירושלים</t>
  </si>
  <si>
    <t>יהודית קנטרוביץ</t>
  </si>
  <si>
    <t>דב קראוס</t>
  </si>
  <si>
    <t>יאיר יעקבי</t>
  </si>
  <si>
    <t>רחבת מתנ"ס רמות ב', רחוב רקנטי 6, ירושלים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</si>
</sst>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rgb="FF222222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0" fillId="3" fontId="2" numFmtId="0" xfId="0" applyAlignment="1" applyFill="1" applyFont="1">
      <alignment readingOrder="0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2" numFmtId="0" xfId="0" applyFont="1"/>
    <xf borderId="1" fillId="3" fontId="4" numFmtId="0" xfId="0" applyBorder="1" applyFont="1"/>
    <xf borderId="0" fillId="2" fontId="2" numFmtId="0" xfId="0" applyAlignment="1" applyFont="1">
      <alignment readingOrder="0"/>
    </xf>
    <xf borderId="0" fillId="2" fontId="3" numFmtId="0" xfId="0" applyFont="1"/>
    <xf borderId="0" fillId="2" fontId="2" numFmtId="0" xfId="0" applyFont="1"/>
    <xf borderId="1" fillId="2" fontId="4" numFmtId="0" xfId="0" applyBorder="1" applyFont="1"/>
    <xf borderId="0" fillId="4" fontId="2" numFmtId="0" xfId="0" applyAlignment="1" applyFill="1" applyFont="1">
      <alignment readingOrder="0"/>
    </xf>
    <xf borderId="0" fillId="4" fontId="3" numFmtId="0" xfId="0" applyFont="1"/>
    <xf borderId="0" fillId="4" fontId="2" numFmtId="0" xfId="0" applyFont="1"/>
    <xf borderId="1" fillId="4" fontId="4" numFmtId="0" xfId="0" applyBorder="1" applyFont="1"/>
    <xf borderId="0" fillId="2" fontId="2" numFmtId="0" xfId="0" applyAlignment="1" applyFont="1">
      <alignment horizontal="right" readingOrder="0" vertical="bottom"/>
    </xf>
    <xf borderId="0" fillId="5" fontId="2" numFmtId="0" xfId="0" applyAlignment="1" applyFill="1" applyFont="1">
      <alignment horizontal="right" readingOrder="0" vertical="bottom"/>
    </xf>
    <xf borderId="0" fillId="5" fontId="3" numFmtId="0" xfId="0" applyFont="1"/>
    <xf borderId="0" fillId="5" fontId="2" numFmtId="0" xfId="0" applyFont="1"/>
    <xf borderId="1" fillId="5" fontId="4" numFmtId="0" xfId="0" applyBorder="1" applyFont="1"/>
    <xf borderId="0" fillId="6" fontId="2" numFmtId="0" xfId="0" applyAlignment="1" applyFill="1" applyFont="1">
      <alignment horizontal="right" readingOrder="0" vertical="bottom"/>
    </xf>
    <xf borderId="0" fillId="6" fontId="3" numFmtId="0" xfId="0" applyFont="1"/>
    <xf borderId="0" fillId="6" fontId="2" numFmtId="0" xfId="0" applyFont="1"/>
    <xf borderId="1" fillId="6" fontId="4" numFmtId="0" xfId="0" applyBorder="1" applyFont="1"/>
    <xf borderId="0" fillId="7" fontId="2" numFmtId="0" xfId="0" applyAlignment="1" applyFill="1" applyFont="1">
      <alignment horizontal="right" readingOrder="0" vertical="bottom"/>
    </xf>
    <xf borderId="0" fillId="7" fontId="3" numFmtId="0" xfId="0" applyFont="1"/>
    <xf borderId="0" fillId="7" fontId="2" numFmtId="0" xfId="0" applyFont="1"/>
    <xf borderId="1" fillId="7" fontId="4" numFmtId="0" xfId="0" applyBorder="1" applyFont="1"/>
    <xf borderId="0" fillId="0" fontId="2" numFmtId="0" xfId="0" applyFont="1"/>
    <xf borderId="0" fillId="0" fontId="1" numFmtId="0" xfId="0" applyFont="1"/>
    <xf borderId="0" fillId="0" fontId="4" numFmtId="0" xfId="0" applyFont="1"/>
    <xf borderId="2" fillId="8" fontId="2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Border="1" applyFont="1"/>
    <xf borderId="3" fillId="0" fontId="5" numFmtId="0" xfId="0" applyAlignment="1" applyBorder="1" applyFont="1">
      <alignment horizontal="center"/>
    </xf>
    <xf borderId="4" fillId="0" fontId="6" numFmtId="0" xfId="0" applyBorder="1" applyFont="1"/>
    <xf borderId="3" fillId="0" fontId="4" numFmtId="0" xfId="0" applyAlignment="1" applyBorder="1" applyFont="1">
      <alignment horizontal="center"/>
    </xf>
    <xf borderId="5" fillId="0" fontId="6" numFmtId="0" xfId="0" applyBorder="1" applyFont="1"/>
    <xf borderId="2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גיליון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L26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גיליון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6.0"/>
    <col customWidth="1" min="2" max="3" width="8.75"/>
    <col customWidth="1" min="4" max="4" width="11.13"/>
    <col customWidth="1" min="5" max="5" width="8.75"/>
    <col customWidth="1" min="6" max="6" width="14.13"/>
    <col customWidth="1" min="7" max="7" width="18.5"/>
    <col customWidth="1" min="8" max="8" width="18.38"/>
    <col customWidth="1" min="9" max="9" width="8.75"/>
    <col customWidth="1" min="10" max="11" width="9.0"/>
    <col customWidth="1" min="12" max="12" width="8.63"/>
  </cols>
  <sheetData>
    <row r="1" ht="13.5" customHeight="1">
      <c r="A1" s="1" t="s">
        <v>0</v>
      </c>
    </row>
    <row r="2" ht="14.25" customHeight="1"/>
    <row r="3" ht="13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/>
      <c r="K3" s="3"/>
      <c r="L3" s="3"/>
    </row>
    <row r="4" ht="11.25" customHeight="1">
      <c r="A4" s="4" t="s">
        <v>10</v>
      </c>
      <c r="B4" s="5">
        <v>50.0</v>
      </c>
      <c r="C4" s="5">
        <v>39.0</v>
      </c>
      <c r="D4" s="6">
        <v>41.0</v>
      </c>
      <c r="E4" s="5">
        <v>40.0</v>
      </c>
      <c r="F4" s="5">
        <v>57.0</v>
      </c>
      <c r="G4" s="5">
        <v>58.0</v>
      </c>
      <c r="H4" s="6">
        <v>29.0</v>
      </c>
      <c r="I4" s="7"/>
      <c r="J4" s="5"/>
      <c r="K4" s="5"/>
      <c r="L4" s="8"/>
    </row>
    <row r="5" ht="18.75" customHeight="1">
      <c r="A5" s="4" t="s">
        <v>11</v>
      </c>
      <c r="B5" s="6">
        <v>11.0</v>
      </c>
      <c r="C5" s="6">
        <v>14.0</v>
      </c>
      <c r="D5" s="6">
        <v>15.0</v>
      </c>
      <c r="E5" s="6">
        <v>17.0</v>
      </c>
      <c r="F5" s="6">
        <v>33.0</v>
      </c>
      <c r="G5" s="6">
        <v>20.0</v>
      </c>
      <c r="H5" s="6">
        <v>10.0</v>
      </c>
      <c r="I5" s="7"/>
      <c r="J5" s="5"/>
      <c r="K5" s="5"/>
      <c r="L5" s="8"/>
    </row>
    <row r="6" ht="13.5" customHeight="1">
      <c r="A6" s="9" t="s">
        <v>12</v>
      </c>
      <c r="B6" s="10"/>
      <c r="C6" s="10"/>
      <c r="D6" s="10"/>
      <c r="E6" s="10"/>
      <c r="F6" s="10"/>
      <c r="G6" s="10"/>
      <c r="H6" s="10"/>
      <c r="I6" s="11"/>
      <c r="J6" s="10"/>
      <c r="K6" s="10"/>
      <c r="L6" s="12"/>
    </row>
    <row r="7" ht="13.5" customHeight="1">
      <c r="A7" s="13" t="s">
        <v>13</v>
      </c>
      <c r="B7" s="14">
        <f>$B$4*13</f>
        <v>650</v>
      </c>
      <c r="C7" s="14">
        <f>$C$4*6</f>
        <v>234</v>
      </c>
      <c r="D7" s="14">
        <f>$D$4*13</f>
        <v>533</v>
      </c>
      <c r="E7" s="14">
        <f>$E$4*13</f>
        <v>520</v>
      </c>
      <c r="F7" s="14">
        <f>F$4*7</f>
        <v>399</v>
      </c>
      <c r="G7" s="14">
        <f>$G$4*13</f>
        <v>754</v>
      </c>
      <c r="H7" s="14">
        <f t="shared" ref="H7:H12" si="1">H$4*7</f>
        <v>203</v>
      </c>
      <c r="I7" s="15">
        <f t="shared" ref="I7:I12" si="2">SUM(B7:H7)</f>
        <v>3293</v>
      </c>
      <c r="J7" s="14"/>
      <c r="K7" s="14"/>
      <c r="L7" s="16"/>
    </row>
    <row r="8" ht="13.5" customHeight="1">
      <c r="A8" s="13" t="s">
        <v>14</v>
      </c>
      <c r="B8" s="14">
        <f>$B$4*13*2</f>
        <v>1300</v>
      </c>
      <c r="C8" s="14">
        <f>$C$4*6*2</f>
        <v>468</v>
      </c>
      <c r="D8" s="14">
        <f>$D$4*13*2</f>
        <v>1066</v>
      </c>
      <c r="E8" s="14">
        <f>$E$4*13*2</f>
        <v>1040</v>
      </c>
      <c r="F8" s="14">
        <f>$F$4*7*2</f>
        <v>798</v>
      </c>
      <c r="G8" s="14">
        <f>$G$4*13*2</f>
        <v>1508</v>
      </c>
      <c r="H8" s="14">
        <f t="shared" si="1"/>
        <v>203</v>
      </c>
      <c r="I8" s="15">
        <f t="shared" si="2"/>
        <v>6383</v>
      </c>
      <c r="J8" s="14"/>
      <c r="K8" s="14"/>
      <c r="L8" s="16"/>
    </row>
    <row r="9" ht="13.5" customHeight="1">
      <c r="A9" s="13" t="s">
        <v>15</v>
      </c>
      <c r="B9" s="14">
        <f t="shared" ref="B9:B12" si="3">$B$4*13</f>
        <v>650</v>
      </c>
      <c r="C9" s="14">
        <f t="shared" ref="C9:C12" si="4">$C$4*6</f>
        <v>234</v>
      </c>
      <c r="D9" s="14">
        <f t="shared" ref="D9:D12" si="5">$D$4*13</f>
        <v>533</v>
      </c>
      <c r="E9" s="14">
        <f t="shared" ref="E9:E12" si="6">$E$4*13</f>
        <v>520</v>
      </c>
      <c r="F9" s="14">
        <f t="shared" ref="F9:F12" si="7">$F$4*7</f>
        <v>399</v>
      </c>
      <c r="G9" s="14">
        <f t="shared" ref="G9:G12" si="8">$G$4*13</f>
        <v>754</v>
      </c>
      <c r="H9" s="14">
        <f t="shared" si="1"/>
        <v>203</v>
      </c>
      <c r="I9" s="15">
        <f t="shared" si="2"/>
        <v>3293</v>
      </c>
      <c r="J9" s="14"/>
      <c r="K9" s="14"/>
      <c r="L9" s="16"/>
    </row>
    <row r="10" ht="13.5" customHeight="1">
      <c r="A10" s="13" t="s">
        <v>16</v>
      </c>
      <c r="B10" s="14">
        <f t="shared" si="3"/>
        <v>650</v>
      </c>
      <c r="C10" s="14">
        <f t="shared" si="4"/>
        <v>234</v>
      </c>
      <c r="D10" s="14">
        <f t="shared" si="5"/>
        <v>533</v>
      </c>
      <c r="E10" s="14">
        <f t="shared" si="6"/>
        <v>520</v>
      </c>
      <c r="F10" s="14">
        <f t="shared" si="7"/>
        <v>399</v>
      </c>
      <c r="G10" s="14">
        <f t="shared" si="8"/>
        <v>754</v>
      </c>
      <c r="H10" s="14">
        <f t="shared" si="1"/>
        <v>203</v>
      </c>
      <c r="I10" s="15">
        <f t="shared" si="2"/>
        <v>3293</v>
      </c>
      <c r="J10" s="14"/>
      <c r="K10" s="14"/>
      <c r="L10" s="16"/>
    </row>
    <row r="11" ht="13.5" customHeight="1">
      <c r="A11" s="13" t="s">
        <v>17</v>
      </c>
      <c r="B11" s="14">
        <f t="shared" si="3"/>
        <v>650</v>
      </c>
      <c r="C11" s="14">
        <f t="shared" si="4"/>
        <v>234</v>
      </c>
      <c r="D11" s="14">
        <f t="shared" si="5"/>
        <v>533</v>
      </c>
      <c r="E11" s="14">
        <f t="shared" si="6"/>
        <v>520</v>
      </c>
      <c r="F11" s="14">
        <f t="shared" si="7"/>
        <v>399</v>
      </c>
      <c r="G11" s="14">
        <f t="shared" si="8"/>
        <v>754</v>
      </c>
      <c r="H11" s="14">
        <f t="shared" si="1"/>
        <v>203</v>
      </c>
      <c r="I11" s="15">
        <f t="shared" si="2"/>
        <v>3293</v>
      </c>
      <c r="J11" s="14"/>
      <c r="K11" s="14"/>
      <c r="L11" s="16"/>
    </row>
    <row r="12" ht="13.5" customHeight="1">
      <c r="A12" s="13" t="s">
        <v>18</v>
      </c>
      <c r="B12" s="14">
        <f t="shared" si="3"/>
        <v>650</v>
      </c>
      <c r="C12" s="14">
        <f t="shared" si="4"/>
        <v>234</v>
      </c>
      <c r="D12" s="14">
        <f t="shared" si="5"/>
        <v>533</v>
      </c>
      <c r="E12" s="14">
        <f t="shared" si="6"/>
        <v>520</v>
      </c>
      <c r="F12" s="14">
        <f t="shared" si="7"/>
        <v>399</v>
      </c>
      <c r="G12" s="14">
        <f t="shared" si="8"/>
        <v>754</v>
      </c>
      <c r="H12" s="14">
        <f t="shared" si="1"/>
        <v>203</v>
      </c>
      <c r="I12" s="15">
        <f t="shared" si="2"/>
        <v>3293</v>
      </c>
      <c r="J12" s="14"/>
      <c r="K12" s="14"/>
      <c r="L12" s="16"/>
    </row>
    <row r="13" ht="13.5" customHeight="1">
      <c r="A13" s="17" t="s">
        <v>19</v>
      </c>
      <c r="B13" s="10"/>
      <c r="C13" s="10"/>
      <c r="D13" s="10"/>
      <c r="E13" s="10"/>
      <c r="F13" s="10"/>
      <c r="G13" s="10"/>
      <c r="H13" s="10"/>
      <c r="I13" s="11"/>
      <c r="J13" s="10"/>
      <c r="K13" s="10"/>
      <c r="L13" s="12"/>
    </row>
    <row r="14" ht="13.5" customHeight="1">
      <c r="A14" s="18" t="s">
        <v>20</v>
      </c>
      <c r="B14" s="19">
        <v>250.0</v>
      </c>
      <c r="C14" s="14">
        <f t="shared" ref="C14:C15" si="10">$C$5*6</f>
        <v>84</v>
      </c>
      <c r="D14" s="14">
        <f t="shared" ref="D14:E14" si="9">D$5*12</f>
        <v>180</v>
      </c>
      <c r="E14" s="14">
        <f t="shared" si="9"/>
        <v>204</v>
      </c>
      <c r="F14" s="14">
        <f t="shared" ref="F14:F15" si="12">F$5*6</f>
        <v>198</v>
      </c>
      <c r="G14" s="19">
        <v>260.0</v>
      </c>
      <c r="H14" s="14">
        <f t="shared" ref="H14:H15" si="13">H$5*6</f>
        <v>60</v>
      </c>
      <c r="I14" s="20">
        <f t="shared" ref="I14:I15" si="14">SUM(B14:H14)</f>
        <v>1236</v>
      </c>
      <c r="J14" s="19"/>
      <c r="K14" s="19"/>
      <c r="L14" s="21"/>
    </row>
    <row r="15" ht="13.5" customHeight="1">
      <c r="A15" s="18" t="s">
        <v>21</v>
      </c>
      <c r="B15" s="19">
        <v>250.0</v>
      </c>
      <c r="C15" s="14">
        <f t="shared" si="10"/>
        <v>84</v>
      </c>
      <c r="D15" s="14">
        <f t="shared" ref="D15:E15" si="11">D$5*12</f>
        <v>180</v>
      </c>
      <c r="E15" s="14">
        <f t="shared" si="11"/>
        <v>204</v>
      </c>
      <c r="F15" s="14">
        <f t="shared" si="12"/>
        <v>198</v>
      </c>
      <c r="G15" s="19">
        <v>260.0</v>
      </c>
      <c r="H15" s="14">
        <f t="shared" si="13"/>
        <v>60</v>
      </c>
      <c r="I15" s="20">
        <f t="shared" si="14"/>
        <v>1236</v>
      </c>
      <c r="J15" s="19"/>
      <c r="K15" s="19"/>
      <c r="L15" s="21"/>
    </row>
    <row r="16" ht="13.5" customHeight="1">
      <c r="A16" s="17" t="s">
        <v>22</v>
      </c>
      <c r="B16" s="10"/>
      <c r="C16" s="10"/>
      <c r="D16" s="10"/>
      <c r="E16" s="10"/>
      <c r="F16" s="10"/>
      <c r="G16" s="10"/>
      <c r="H16" s="10"/>
      <c r="I16" s="11"/>
      <c r="J16" s="10"/>
      <c r="K16" s="10"/>
      <c r="L16" s="12"/>
    </row>
    <row r="17" ht="13.5" customHeight="1">
      <c r="A17" s="22" t="s">
        <v>23</v>
      </c>
      <c r="B17" s="14">
        <f t="shared" ref="B17:B23" si="15">$B$4*12</f>
        <v>600</v>
      </c>
      <c r="C17" s="14">
        <f t="shared" ref="C17:C23" si="16">$C$4*6</f>
        <v>234</v>
      </c>
      <c r="D17" s="23">
        <f t="shared" ref="D17:D23" si="17">$D$4*12</f>
        <v>492</v>
      </c>
      <c r="E17" s="23">
        <f t="shared" ref="E17:E23" si="18">$E$4*12</f>
        <v>480</v>
      </c>
      <c r="F17" s="23">
        <f t="shared" ref="F17:F23" si="19">$F$4*6</f>
        <v>342</v>
      </c>
      <c r="G17" s="23">
        <f t="shared" ref="G17:G23" si="20">$G$4*12</f>
        <v>696</v>
      </c>
      <c r="H17" s="14">
        <f t="shared" ref="H17:H23" si="21">H$4*7</f>
        <v>203</v>
      </c>
      <c r="I17" s="24">
        <f t="shared" ref="I17:I23" si="22">SUM(B17:H17)</f>
        <v>3047</v>
      </c>
      <c r="J17" s="23"/>
      <c r="K17" s="23"/>
      <c r="L17" s="25"/>
    </row>
    <row r="18" ht="13.5" customHeight="1">
      <c r="A18" s="22" t="s">
        <v>24</v>
      </c>
      <c r="B18" s="14">
        <f t="shared" si="15"/>
        <v>600</v>
      </c>
      <c r="C18" s="14">
        <f t="shared" si="16"/>
        <v>234</v>
      </c>
      <c r="D18" s="23">
        <f t="shared" si="17"/>
        <v>492</v>
      </c>
      <c r="E18" s="23">
        <f t="shared" si="18"/>
        <v>480</v>
      </c>
      <c r="F18" s="23">
        <f t="shared" si="19"/>
        <v>342</v>
      </c>
      <c r="G18" s="23">
        <f t="shared" si="20"/>
        <v>696</v>
      </c>
      <c r="H18" s="14">
        <f t="shared" si="21"/>
        <v>203</v>
      </c>
      <c r="I18" s="24">
        <f t="shared" si="22"/>
        <v>3047</v>
      </c>
      <c r="J18" s="23"/>
      <c r="K18" s="23"/>
      <c r="L18" s="25"/>
    </row>
    <row r="19" ht="13.5" customHeight="1">
      <c r="A19" s="22" t="s">
        <v>25</v>
      </c>
      <c r="B19" s="14">
        <f t="shared" si="15"/>
        <v>600</v>
      </c>
      <c r="C19" s="14">
        <f t="shared" si="16"/>
        <v>234</v>
      </c>
      <c r="D19" s="23">
        <f t="shared" si="17"/>
        <v>492</v>
      </c>
      <c r="E19" s="23">
        <f t="shared" si="18"/>
        <v>480</v>
      </c>
      <c r="F19" s="23">
        <f t="shared" si="19"/>
        <v>342</v>
      </c>
      <c r="G19" s="23">
        <f t="shared" si="20"/>
        <v>696</v>
      </c>
      <c r="H19" s="14">
        <f t="shared" si="21"/>
        <v>203</v>
      </c>
      <c r="I19" s="24">
        <f t="shared" si="22"/>
        <v>3047</v>
      </c>
      <c r="J19" s="23"/>
      <c r="K19" s="23"/>
      <c r="L19" s="25"/>
    </row>
    <row r="20" ht="13.5" customHeight="1">
      <c r="A20" s="22" t="s">
        <v>26</v>
      </c>
      <c r="B20" s="14">
        <f t="shared" si="15"/>
        <v>600</v>
      </c>
      <c r="C20" s="14">
        <f t="shared" si="16"/>
        <v>234</v>
      </c>
      <c r="D20" s="23">
        <f t="shared" si="17"/>
        <v>492</v>
      </c>
      <c r="E20" s="23">
        <f t="shared" si="18"/>
        <v>480</v>
      </c>
      <c r="F20" s="23">
        <f t="shared" si="19"/>
        <v>342</v>
      </c>
      <c r="G20" s="23">
        <f t="shared" si="20"/>
        <v>696</v>
      </c>
      <c r="H20" s="14">
        <f t="shared" si="21"/>
        <v>203</v>
      </c>
      <c r="I20" s="24">
        <f t="shared" si="22"/>
        <v>3047</v>
      </c>
      <c r="J20" s="23"/>
      <c r="K20" s="23"/>
      <c r="L20" s="25"/>
    </row>
    <row r="21" ht="13.5" customHeight="1">
      <c r="A21" s="22" t="s">
        <v>27</v>
      </c>
      <c r="B21" s="14">
        <f t="shared" si="15"/>
        <v>600</v>
      </c>
      <c r="C21" s="14">
        <f t="shared" si="16"/>
        <v>234</v>
      </c>
      <c r="D21" s="23">
        <f t="shared" si="17"/>
        <v>492</v>
      </c>
      <c r="E21" s="23">
        <f t="shared" si="18"/>
        <v>480</v>
      </c>
      <c r="F21" s="23">
        <f t="shared" si="19"/>
        <v>342</v>
      </c>
      <c r="G21" s="23">
        <f t="shared" si="20"/>
        <v>696</v>
      </c>
      <c r="H21" s="14">
        <f t="shared" si="21"/>
        <v>203</v>
      </c>
      <c r="I21" s="24">
        <f t="shared" si="22"/>
        <v>3047</v>
      </c>
      <c r="J21" s="23"/>
      <c r="K21" s="23"/>
      <c r="L21" s="25"/>
    </row>
    <row r="22" ht="13.5" customHeight="1">
      <c r="A22" s="22" t="s">
        <v>28</v>
      </c>
      <c r="B22" s="14">
        <f t="shared" si="15"/>
        <v>600</v>
      </c>
      <c r="C22" s="14">
        <f t="shared" si="16"/>
        <v>234</v>
      </c>
      <c r="D22" s="23">
        <f t="shared" si="17"/>
        <v>492</v>
      </c>
      <c r="E22" s="23">
        <f t="shared" si="18"/>
        <v>480</v>
      </c>
      <c r="F22" s="23">
        <f t="shared" si="19"/>
        <v>342</v>
      </c>
      <c r="G22" s="23">
        <f t="shared" si="20"/>
        <v>696</v>
      </c>
      <c r="H22" s="14">
        <f t="shared" si="21"/>
        <v>203</v>
      </c>
      <c r="I22" s="24">
        <f t="shared" si="22"/>
        <v>3047</v>
      </c>
      <c r="J22" s="23"/>
      <c r="K22" s="23"/>
      <c r="L22" s="25"/>
    </row>
    <row r="23" ht="13.5" customHeight="1">
      <c r="A23" s="22" t="s">
        <v>29</v>
      </c>
      <c r="B23" s="14">
        <f t="shared" si="15"/>
        <v>600</v>
      </c>
      <c r="C23" s="14">
        <f t="shared" si="16"/>
        <v>234</v>
      </c>
      <c r="D23" s="23">
        <f t="shared" si="17"/>
        <v>492</v>
      </c>
      <c r="E23" s="23">
        <f t="shared" si="18"/>
        <v>480</v>
      </c>
      <c r="F23" s="23">
        <f t="shared" si="19"/>
        <v>342</v>
      </c>
      <c r="G23" s="23">
        <f t="shared" si="20"/>
        <v>696</v>
      </c>
      <c r="H23" s="14">
        <f t="shared" si="21"/>
        <v>203</v>
      </c>
      <c r="I23" s="24">
        <f t="shared" si="22"/>
        <v>3047</v>
      </c>
      <c r="J23" s="23"/>
      <c r="K23" s="23"/>
      <c r="L23" s="25"/>
    </row>
    <row r="24" ht="13.5" customHeight="1">
      <c r="A24" s="17" t="s">
        <v>30</v>
      </c>
      <c r="B24" s="10"/>
      <c r="C24" s="10"/>
      <c r="D24" s="10"/>
      <c r="E24" s="10"/>
      <c r="F24" s="10"/>
      <c r="G24" s="10"/>
      <c r="H24" s="10"/>
      <c r="I24" s="11"/>
      <c r="J24" s="10"/>
      <c r="K24" s="10"/>
      <c r="L24" s="12"/>
    </row>
    <row r="25" ht="13.5" customHeight="1">
      <c r="A25" s="26" t="s">
        <v>31</v>
      </c>
      <c r="B25" s="27">
        <v>240.0</v>
      </c>
      <c r="C25" s="14">
        <f t="shared" ref="C25:C26" si="24">$C$5*6</f>
        <v>84</v>
      </c>
      <c r="D25" s="14">
        <f t="shared" ref="D25:E25" si="23">D$5*12</f>
        <v>180</v>
      </c>
      <c r="E25" s="14">
        <f t="shared" si="23"/>
        <v>204</v>
      </c>
      <c r="F25" s="14">
        <f t="shared" ref="F25:F26" si="26">F$5*7</f>
        <v>231</v>
      </c>
      <c r="G25" s="27">
        <v>240.0</v>
      </c>
      <c r="H25" s="14">
        <f t="shared" ref="H25:H26" si="27">H$5*6</f>
        <v>60</v>
      </c>
      <c r="I25" s="28">
        <f t="shared" ref="I25:I26" si="28">SUM(B25:H25)</f>
        <v>1239</v>
      </c>
      <c r="J25" s="27"/>
      <c r="K25" s="27"/>
      <c r="L25" s="29"/>
    </row>
    <row r="26" ht="13.5" customHeight="1">
      <c r="A26" s="26" t="s">
        <v>32</v>
      </c>
      <c r="B26" s="27">
        <v>240.0</v>
      </c>
      <c r="C26" s="14">
        <f t="shared" si="24"/>
        <v>84</v>
      </c>
      <c r="D26" s="14">
        <f t="shared" ref="D26:E26" si="25">D$5*12</f>
        <v>180</v>
      </c>
      <c r="E26" s="14">
        <f t="shared" si="25"/>
        <v>204</v>
      </c>
      <c r="F26" s="14">
        <f t="shared" si="26"/>
        <v>231</v>
      </c>
      <c r="G26" s="27">
        <v>240.0</v>
      </c>
      <c r="H26" s="14">
        <f t="shared" si="27"/>
        <v>60</v>
      </c>
      <c r="I26" s="28">
        <f t="shared" si="28"/>
        <v>1239</v>
      </c>
      <c r="J26" s="27"/>
      <c r="K26" s="27"/>
      <c r="L26" s="29"/>
    </row>
    <row r="27" ht="13.5" customHeight="1">
      <c r="B27" s="30"/>
    </row>
    <row r="28" ht="13.5" customHeight="1">
      <c r="L28" s="31"/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5" max="5" width="52.88"/>
  </cols>
  <sheetData>
    <row r="1">
      <c r="A1" s="32"/>
      <c r="B1" s="32"/>
      <c r="C1" s="32"/>
      <c r="D1" s="32"/>
      <c r="E1" s="32"/>
    </row>
    <row r="2">
      <c r="A2" s="33" t="s">
        <v>33</v>
      </c>
      <c r="B2" s="33" t="s">
        <v>34</v>
      </c>
      <c r="C2" s="33" t="s">
        <v>35</v>
      </c>
      <c r="D2" s="33" t="s">
        <v>36</v>
      </c>
      <c r="E2" s="33" t="s">
        <v>37</v>
      </c>
    </row>
    <row r="3">
      <c r="A3" s="34">
        <v>1.0</v>
      </c>
      <c r="B3" s="34" t="s">
        <v>7</v>
      </c>
      <c r="C3" s="34" t="s">
        <v>38</v>
      </c>
      <c r="D3" s="35"/>
      <c r="E3" s="36" t="s">
        <v>39</v>
      </c>
    </row>
    <row r="4">
      <c r="A4" s="35"/>
      <c r="B4" s="35"/>
      <c r="C4" s="34" t="s">
        <v>40</v>
      </c>
      <c r="D4" s="35"/>
      <c r="E4" s="37"/>
    </row>
    <row r="5">
      <c r="A5" s="38">
        <v>2.0</v>
      </c>
      <c r="B5" s="38" t="s">
        <v>6</v>
      </c>
      <c r="C5" s="35"/>
      <c r="D5" s="35"/>
      <c r="E5" s="36" t="s">
        <v>41</v>
      </c>
    </row>
    <row r="6">
      <c r="A6" s="39"/>
      <c r="B6" s="39"/>
      <c r="C6" s="34" t="s">
        <v>42</v>
      </c>
      <c r="D6" s="35"/>
      <c r="E6" s="39"/>
    </row>
    <row r="7">
      <c r="A7" s="37"/>
      <c r="B7" s="37"/>
      <c r="C7" s="35"/>
      <c r="D7" s="35"/>
      <c r="E7" s="37"/>
    </row>
    <row r="8">
      <c r="A8" s="34">
        <v>3.0</v>
      </c>
      <c r="B8" s="34" t="s">
        <v>8</v>
      </c>
      <c r="C8" s="34" t="s">
        <v>43</v>
      </c>
      <c r="D8" s="34" t="s">
        <v>44</v>
      </c>
      <c r="E8" s="40" t="s">
        <v>45</v>
      </c>
    </row>
    <row r="9">
      <c r="A9" s="38">
        <v>4.0</v>
      </c>
      <c r="B9" s="38" t="s">
        <v>3</v>
      </c>
      <c r="C9" s="34" t="s">
        <v>46</v>
      </c>
      <c r="D9" s="34" t="s">
        <v>47</v>
      </c>
      <c r="E9" s="41" t="s">
        <v>48</v>
      </c>
    </row>
    <row r="10">
      <c r="A10" s="39"/>
      <c r="B10" s="39"/>
      <c r="C10" s="34" t="s">
        <v>49</v>
      </c>
      <c r="D10" s="34" t="s">
        <v>50</v>
      </c>
      <c r="E10" s="39"/>
    </row>
    <row r="11">
      <c r="A11" s="37"/>
      <c r="B11" s="37"/>
      <c r="C11" s="35"/>
      <c r="D11" s="35"/>
      <c r="E11" s="37"/>
    </row>
    <row r="12">
      <c r="A12" s="38">
        <v>5.0</v>
      </c>
      <c r="B12" s="38" t="s">
        <v>2</v>
      </c>
      <c r="C12" s="34" t="s">
        <v>51</v>
      </c>
      <c r="D12" s="34" t="s">
        <v>52</v>
      </c>
      <c r="E12" s="41" t="s">
        <v>53</v>
      </c>
    </row>
    <row r="13">
      <c r="A13" s="39"/>
      <c r="B13" s="39"/>
      <c r="C13" s="34" t="s">
        <v>54</v>
      </c>
      <c r="D13" s="34" t="s">
        <v>55</v>
      </c>
      <c r="E13" s="39"/>
    </row>
    <row r="14">
      <c r="A14" s="39"/>
      <c r="B14" s="39"/>
      <c r="C14" s="34" t="s">
        <v>56</v>
      </c>
      <c r="D14" s="35"/>
      <c r="E14" s="39"/>
    </row>
    <row r="15">
      <c r="A15" s="37"/>
      <c r="B15" s="37"/>
      <c r="C15" s="34" t="s">
        <v>57</v>
      </c>
      <c r="D15" s="34" t="s">
        <v>58</v>
      </c>
      <c r="E15" s="37"/>
    </row>
    <row r="16">
      <c r="A16" s="34">
        <v>6.0</v>
      </c>
      <c r="B16" s="38" t="s">
        <v>59</v>
      </c>
      <c r="C16" s="34" t="s">
        <v>60</v>
      </c>
      <c r="D16" s="35"/>
      <c r="E16" s="36" t="s">
        <v>61</v>
      </c>
    </row>
    <row r="17">
      <c r="A17" s="35"/>
      <c r="B17" s="39"/>
      <c r="C17" s="34" t="s">
        <v>62</v>
      </c>
      <c r="D17" s="35"/>
      <c r="E17" s="39"/>
    </row>
    <row r="18">
      <c r="A18" s="35"/>
      <c r="B18" s="39"/>
      <c r="C18" s="34" t="s">
        <v>63</v>
      </c>
      <c r="D18" s="35"/>
      <c r="E18" s="39"/>
    </row>
    <row r="19">
      <c r="A19" s="35"/>
      <c r="B19" s="37"/>
      <c r="C19" s="35"/>
      <c r="D19" s="35"/>
      <c r="E19" s="37"/>
    </row>
    <row r="20">
      <c r="A20" s="38">
        <v>7.0</v>
      </c>
      <c r="B20" s="38" t="s">
        <v>5</v>
      </c>
      <c r="C20" s="34" t="s">
        <v>64</v>
      </c>
      <c r="D20" s="35"/>
      <c r="E20" s="41" t="s">
        <v>65</v>
      </c>
    </row>
    <row r="21">
      <c r="A21" s="37"/>
      <c r="B21" s="37"/>
      <c r="C21" s="35"/>
      <c r="D21" s="35"/>
      <c r="E21" s="37"/>
    </row>
  </sheetData>
  <mergeCells count="15">
    <mergeCell ref="A12:A15"/>
    <mergeCell ref="B12:B15"/>
    <mergeCell ref="E12:E15"/>
    <mergeCell ref="B16:B19"/>
    <mergeCell ref="E16:E19"/>
    <mergeCell ref="A20:A21"/>
    <mergeCell ref="B20:B21"/>
    <mergeCell ref="E20:E21"/>
    <mergeCell ref="E3:E4"/>
    <mergeCell ref="A5:A7"/>
    <mergeCell ref="B5:B7"/>
    <mergeCell ref="E5:E7"/>
    <mergeCell ref="A9:A11"/>
    <mergeCell ref="B9:B11"/>
    <mergeCell ref="E9:E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יובל סעדון</dc:creator>
</cp:coreProperties>
</file>