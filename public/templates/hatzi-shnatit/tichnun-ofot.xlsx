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4"/>
  </sheets>
  <definedNames/>
  <calcPr/>
  <extLst>
    <ext uri="GoogleSheetsCustomDataVersion2">
      <go:sheetsCustomData xmlns:go="http://customooxmlschemas.google.com/" r:id="rId5" roundtripDataChecksum="eNX9Aj2on3u7eZQaTVYqzxdbyx1NFQbQCiAMg/oozHM="/>
    </ext>
  </extLst>
</workbook>
</file>

<file path=xl/sharedStrings.xml><?xml version="1.0" encoding="utf-8"?>
<sst xmlns="http://schemas.openxmlformats.org/spreadsheetml/2006/main" count="25" uniqueCount="25">
  <si>
    <t>תאריך:</t>
  </si>
  <si>
    <t>בד״צ - בקעה + נחלאות</t>
  </si>
  <si>
    <t>בקעה + נחלאות</t>
  </si>
  <si>
    <t>גילה</t>
  </si>
  <si>
    <t>נווה יעקב</t>
  </si>
  <si>
    <t>קטמון</t>
  </si>
  <si>
    <t>קרית מנחם</t>
  </si>
  <si>
    <t>רמות</t>
  </si>
  <si>
    <t>סה״כ</t>
  </si>
  <si>
    <t>כמות:</t>
  </si>
  <si>
    <t>צפי עוף חודשי - מוערך</t>
  </si>
  <si>
    <t>סך חודש ינואר:</t>
  </si>
  <si>
    <t>סך חודש פברואר:</t>
  </si>
  <si>
    <t>פסח 2.4</t>
  </si>
  <si>
    <t>סך חודש מרץ:</t>
  </si>
  <si>
    <t>סך חודש אפריל:</t>
  </si>
  <si>
    <t>סך חודש מאי:</t>
  </si>
  <si>
    <t>סך חודש יוני:</t>
  </si>
  <si>
    <t>יולי</t>
  </si>
  <si>
    <t>אוגוסט</t>
  </si>
  <si>
    <t>ראש השנה</t>
  </si>
  <si>
    <t>ספטמבר</t>
  </si>
  <si>
    <t>אוקטובר</t>
  </si>
  <si>
    <t>נובמבר</t>
  </si>
  <si>
    <t>דצמבר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</si>
</sst>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&quot;₪&quot;"/>
  </numFmts>
  <fonts count="7">
    <font>
      <sz val="12.0"/>
      <color theme="1"/>
      <name val="Arial"/>
      <scheme val="minor"/>
    </font>
    <font>
      <sz val="11.0"/>
      <color rgb="FFFFFFFF"/>
      <name val="Arial"/>
    </font>
    <font>
      <b/>
      <sz val="11.0"/>
      <color rgb="FFFFFFFF"/>
      <name val="Arial"/>
    </font>
    <font>
      <sz val="11.0"/>
      <color theme="1"/>
      <name val="Arial"/>
    </font>
    <font>
      <b/>
      <sz val="11.0"/>
      <color rgb="FF000000"/>
      <name val="Arial"/>
    </font>
    <font>
      <b/>
      <sz val="11.0"/>
      <color theme="1"/>
      <name val="Arial"/>
    </font>
    <font>
      <i/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3">
    <border/>
    <border>
      <bottom style="thick">
        <color rgb="FF0F4861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Font="1"/>
    <xf borderId="0" fillId="0" fontId="3" numFmtId="0" xfId="0" applyFont="1"/>
    <xf borderId="0" fillId="0" fontId="4" numFmtId="164" xfId="0" applyFont="1" applyNumberFormat="1"/>
    <xf borderId="0" fillId="0" fontId="5" numFmtId="14" xfId="0" applyFont="1" applyNumberFormat="1"/>
    <xf borderId="0" fillId="0" fontId="6" numFmtId="0" xfId="0" applyFont="1"/>
    <xf borderId="0" fillId="0" fontId="6" numFmtId="0" xfId="0" applyAlignment="1" applyFont="1">
      <alignment readingOrder="0"/>
    </xf>
    <xf borderId="1" fillId="0" fontId="3" numFmtId="14" xfId="0" applyBorder="1" applyFont="1" applyNumberFormat="1"/>
    <xf borderId="1" fillId="0" fontId="6" numFmtId="0" xfId="0" applyBorder="1" applyFont="1"/>
    <xf borderId="1" fillId="0" fontId="5" numFmtId="14" xfId="0" applyAlignment="1" applyBorder="1" applyFont="1" applyNumberFormat="1">
      <alignment readingOrder="0"/>
    </xf>
    <xf borderId="1" fillId="0" fontId="5" numFmtId="0" xfId="0" applyBorder="1" applyFont="1"/>
    <xf borderId="1" fillId="0" fontId="5" numFmtId="164" xfId="0" applyBorder="1" applyFont="1" applyNumberFormat="1"/>
    <xf borderId="0" fillId="0" fontId="3" numFmtId="164" xfId="0" applyFont="1" applyNumberFormat="1"/>
    <xf borderId="0" fillId="0" fontId="5" numFmtId="0" xfId="0" applyFont="1"/>
    <xf borderId="1" fillId="0" fontId="5" numFmtId="14" xfId="0" applyBorder="1" applyFont="1" applyNumberFormat="1"/>
    <xf borderId="2" fillId="2" fontId="5" numFmtId="14" xfId="0" applyBorder="1" applyFill="1" applyFont="1" applyNumberFormat="1"/>
    <xf borderId="2" fillId="2" fontId="5" numFmtId="14" xfId="0" applyAlignment="1" applyBorder="1" applyFont="1" applyNumberFormat="1">
      <alignment readingOrder="0"/>
    </xf>
    <xf borderId="0" fillId="0" fontId="5" numFmtId="0" xfId="0" applyFont="1"/>
    <xf borderId="1" fillId="0" fontId="3" numFmtId="0" xfId="0" applyBorder="1" applyFont="1"/>
    <xf borderId="1" fillId="0" fontId="5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0" fillId="0" fontId="3" numFmtId="14" xfId="0" applyAlignment="1" applyFont="1" applyNumberForma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גיליון1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4:L71" displayName="Table_1" name="Table_1" id="1">
  <tableColumns count="11">
    <tableColumn name="תאריך:" id="1"/>
    <tableColumn name="בד״צ - בקעה + נחלאות" id="2"/>
    <tableColumn name="בקעה + נחלאות" id="3"/>
    <tableColumn name="גילה" id="4"/>
    <tableColumn name="נווה יעקב" id="5"/>
    <tableColumn name="קטמון" id="6"/>
    <tableColumn name="קרית מנחם" id="7"/>
    <tableColumn name="רמות" id="8"/>
    <tableColumn name="סה״כ" id="9"/>
    <tableColumn name="כמות:" id="10"/>
    <tableColumn name="צפי עוף חודשי - מוערך" id="11"/>
  </tableColumns>
  <tableStyleInfo name="גיליון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0.1" defaultRowHeight="15.0"/>
  <cols>
    <col customWidth="1" min="1" max="2" width="10.5"/>
    <col customWidth="1" min="3" max="3" width="20.4"/>
    <col customWidth="1" min="4" max="4" width="12.9"/>
    <col customWidth="1" min="5" max="11" width="10.5"/>
    <col customWidth="1" min="12" max="12" width="16.8"/>
    <col customWidth="1" min="13" max="26" width="10.5"/>
  </cols>
  <sheetData>
    <row r="1" ht="15.75" customHeight="1"/>
    <row r="2" ht="15.75" customHeight="1"/>
    <row r="3" ht="15.75" customHeight="1"/>
    <row r="4" ht="15.75" customHeight="1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2" t="s">
        <v>10</v>
      </c>
      <c r="M4" s="3"/>
      <c r="N4" s="3"/>
      <c r="O4" s="3"/>
      <c r="P4" s="3"/>
      <c r="Q4" s="3"/>
    </row>
    <row r="5" ht="15.75" customHeight="1">
      <c r="B5" s="4"/>
      <c r="C5" s="4"/>
      <c r="D5" s="4"/>
      <c r="E5" s="4"/>
      <c r="F5" s="4"/>
      <c r="G5" s="4"/>
      <c r="H5" s="4"/>
      <c r="I5" s="4"/>
      <c r="J5" s="4"/>
      <c r="K5" s="4"/>
      <c r="L5" s="5">
        <f>19.942*1.85</f>
        <v>36.8927</v>
      </c>
      <c r="M5" s="3"/>
      <c r="N5" s="3"/>
      <c r="O5" s="3"/>
      <c r="P5" s="3"/>
      <c r="Q5" s="3"/>
    </row>
    <row r="6" ht="15.75" customHeight="1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3"/>
      <c r="N6" s="3"/>
      <c r="O6" s="3"/>
      <c r="P6" s="3"/>
      <c r="Q6" s="3"/>
    </row>
    <row r="7" ht="15.75" customHeight="1">
      <c r="B7" s="6">
        <v>46027.0</v>
      </c>
      <c r="C7" s="7"/>
      <c r="D7" s="7"/>
      <c r="E7" s="7"/>
      <c r="F7" s="7"/>
      <c r="G7" s="7">
        <v>46.0</v>
      </c>
      <c r="H7" s="7"/>
      <c r="I7" s="7">
        <v>26.0</v>
      </c>
      <c r="J7" s="4"/>
      <c r="K7" s="4"/>
      <c r="L7" s="4"/>
      <c r="M7" s="3"/>
      <c r="N7" s="3"/>
      <c r="O7" s="3"/>
      <c r="P7" s="3"/>
      <c r="Q7" s="3"/>
    </row>
    <row r="8" ht="15.75" customHeight="1">
      <c r="B8" s="6">
        <f t="shared" ref="B8:B10" si="1">B7+7</f>
        <v>46034</v>
      </c>
      <c r="C8" s="7">
        <v>9.0</v>
      </c>
      <c r="D8" s="8">
        <v>133.0</v>
      </c>
      <c r="E8" s="7">
        <v>57.0</v>
      </c>
      <c r="F8" s="7">
        <v>60.0</v>
      </c>
      <c r="G8" s="7">
        <v>46.0</v>
      </c>
      <c r="H8" s="7">
        <v>110.0</v>
      </c>
      <c r="I8" s="7">
        <v>26.0</v>
      </c>
      <c r="J8" s="4"/>
      <c r="K8" s="4"/>
      <c r="L8" s="4"/>
      <c r="M8" s="3"/>
      <c r="N8" s="3"/>
      <c r="O8" s="3"/>
      <c r="P8" s="3"/>
      <c r="Q8" s="3"/>
    </row>
    <row r="9" ht="15.75" customHeight="1">
      <c r="B9" s="6">
        <f t="shared" si="1"/>
        <v>46041</v>
      </c>
      <c r="C9" s="7"/>
      <c r="D9" s="7"/>
      <c r="E9" s="7"/>
      <c r="F9" s="7"/>
      <c r="G9" s="7">
        <v>46.0</v>
      </c>
      <c r="H9" s="7"/>
      <c r="I9" s="7">
        <v>26.0</v>
      </c>
      <c r="J9" s="4"/>
      <c r="K9" s="4"/>
      <c r="L9" s="4"/>
      <c r="M9" s="3"/>
      <c r="N9" s="3"/>
      <c r="O9" s="3"/>
      <c r="P9" s="3"/>
      <c r="Q9" s="3"/>
    </row>
    <row r="10" ht="15.75" customHeight="1">
      <c r="B10" s="6">
        <f t="shared" si="1"/>
        <v>46048</v>
      </c>
      <c r="C10" s="7">
        <v>9.0</v>
      </c>
      <c r="D10" s="8">
        <v>133.0</v>
      </c>
      <c r="E10" s="7">
        <v>57.0</v>
      </c>
      <c r="F10" s="7"/>
      <c r="G10" s="7">
        <v>46.0</v>
      </c>
      <c r="H10" s="7">
        <v>110.0</v>
      </c>
      <c r="I10" s="7">
        <v>26.0</v>
      </c>
      <c r="J10" s="4"/>
      <c r="K10" s="4"/>
      <c r="L10" s="4"/>
      <c r="M10" s="3"/>
      <c r="N10" s="3"/>
      <c r="O10" s="3"/>
      <c r="P10" s="3"/>
      <c r="Q10" s="3"/>
    </row>
    <row r="11" ht="15.75" customHeight="1">
      <c r="B11" s="9"/>
      <c r="C11" s="10"/>
      <c r="D11" s="10"/>
      <c r="E11" s="10"/>
      <c r="F11" s="10"/>
      <c r="G11" s="10"/>
      <c r="H11" s="10"/>
      <c r="I11" s="10"/>
      <c r="J11" s="11" t="s">
        <v>11</v>
      </c>
      <c r="K11" s="12">
        <f>SUM(C7:I10)</f>
        <v>966</v>
      </c>
      <c r="L11" s="13">
        <f>$L$5*K11</f>
        <v>35638.3482</v>
      </c>
      <c r="M11" s="3"/>
      <c r="N11" s="3"/>
      <c r="O11" s="3"/>
      <c r="P11" s="3"/>
      <c r="Q11" s="3"/>
    </row>
    <row r="12" ht="15.75" customHeight="1">
      <c r="B12" s="6">
        <f>B10+7</f>
        <v>46055</v>
      </c>
      <c r="C12" s="7"/>
      <c r="D12" s="7"/>
      <c r="E12" s="7"/>
      <c r="F12" s="7"/>
      <c r="G12" s="7">
        <v>46.0</v>
      </c>
      <c r="H12" s="7"/>
      <c r="I12" s="7">
        <v>26.0</v>
      </c>
      <c r="J12" s="4"/>
      <c r="K12" s="4"/>
      <c r="L12" s="14"/>
      <c r="M12" s="3"/>
      <c r="N12" s="3"/>
      <c r="O12" s="3"/>
      <c r="P12" s="3"/>
      <c r="Q12" s="3"/>
    </row>
    <row r="13" ht="15.75" customHeight="1">
      <c r="B13" s="6">
        <f t="shared" ref="B13:B15" si="2">B12+7</f>
        <v>46062</v>
      </c>
      <c r="C13" s="7">
        <v>9.0</v>
      </c>
      <c r="D13" s="8">
        <v>133.0</v>
      </c>
      <c r="E13" s="7">
        <v>57.0</v>
      </c>
      <c r="F13" s="7">
        <v>60.0</v>
      </c>
      <c r="G13" s="7">
        <v>46.0</v>
      </c>
      <c r="H13" s="7">
        <v>110.0</v>
      </c>
      <c r="I13" s="7">
        <v>26.0</v>
      </c>
      <c r="J13" s="4"/>
      <c r="K13" s="4"/>
      <c r="L13" s="14"/>
      <c r="M13" s="3"/>
      <c r="N13" s="3"/>
      <c r="O13" s="3"/>
      <c r="P13" s="3"/>
      <c r="Q13" s="3"/>
    </row>
    <row r="14" ht="15.75" customHeight="1">
      <c r="B14" s="6">
        <f t="shared" si="2"/>
        <v>46069</v>
      </c>
      <c r="C14" s="7"/>
      <c r="D14" s="7"/>
      <c r="E14" s="7"/>
      <c r="F14" s="7"/>
      <c r="G14" s="7">
        <v>46.0</v>
      </c>
      <c r="H14" s="7"/>
      <c r="I14" s="7">
        <v>26.0</v>
      </c>
      <c r="J14" s="4"/>
      <c r="K14" s="4"/>
      <c r="L14" s="14"/>
      <c r="M14" s="3"/>
      <c r="N14" s="15"/>
      <c r="O14" s="3"/>
      <c r="P14" s="3"/>
      <c r="Q14" s="3"/>
    </row>
    <row r="15" ht="15.75" customHeight="1">
      <c r="B15" s="6">
        <f t="shared" si="2"/>
        <v>46076</v>
      </c>
      <c r="C15" s="7"/>
      <c r="D15" s="8">
        <v>133.0</v>
      </c>
      <c r="E15" s="7">
        <v>57.0</v>
      </c>
      <c r="F15" s="7"/>
      <c r="G15" s="7">
        <v>46.0</v>
      </c>
      <c r="H15" s="7">
        <v>110.0</v>
      </c>
      <c r="I15" s="7">
        <v>26.0</v>
      </c>
      <c r="J15" s="4"/>
      <c r="K15" s="4"/>
      <c r="L15" s="14"/>
      <c r="M15" s="3"/>
      <c r="N15" s="3"/>
      <c r="O15" s="3"/>
      <c r="P15" s="3"/>
      <c r="Q15" s="3"/>
    </row>
    <row r="16" ht="15.75" customHeight="1">
      <c r="B16" s="16"/>
      <c r="C16" s="10"/>
      <c r="D16" s="10"/>
      <c r="E16" s="10"/>
      <c r="F16" s="10"/>
      <c r="G16" s="10"/>
      <c r="H16" s="10"/>
      <c r="I16" s="10"/>
      <c r="J16" s="11" t="s">
        <v>12</v>
      </c>
      <c r="K16" s="12">
        <f>SUM(C12:I15)</f>
        <v>957</v>
      </c>
      <c r="L16" s="13">
        <f>$L$5*K16</f>
        <v>35306.3139</v>
      </c>
      <c r="M16" s="3"/>
      <c r="N16" s="3"/>
      <c r="O16" s="3"/>
      <c r="P16" s="3"/>
      <c r="Q16" s="3"/>
    </row>
    <row r="17" ht="15.75" customHeight="1">
      <c r="B17" s="6">
        <f>B15+7</f>
        <v>46083</v>
      </c>
      <c r="C17" s="7"/>
      <c r="D17" s="7"/>
      <c r="E17" s="7"/>
      <c r="F17" s="7"/>
      <c r="G17" s="7">
        <v>46.0</v>
      </c>
      <c r="H17" s="7"/>
      <c r="I17" s="7">
        <v>26.0</v>
      </c>
      <c r="J17" s="4"/>
      <c r="K17" s="4"/>
      <c r="L17" s="14"/>
      <c r="M17" s="3"/>
      <c r="N17" s="3"/>
      <c r="O17" s="3"/>
      <c r="P17" s="3"/>
      <c r="Q17" s="3"/>
    </row>
    <row r="18" ht="15.75" customHeight="1">
      <c r="B18" s="6">
        <f t="shared" ref="B18:B21" si="3">B17+7</f>
        <v>46090</v>
      </c>
      <c r="C18" s="7">
        <v>9.0</v>
      </c>
      <c r="D18" s="8">
        <v>133.0</v>
      </c>
      <c r="E18" s="7">
        <v>57.0</v>
      </c>
      <c r="F18" s="7">
        <v>60.0</v>
      </c>
      <c r="G18" s="7">
        <v>46.0</v>
      </c>
      <c r="H18" s="7">
        <v>110.0</v>
      </c>
      <c r="I18" s="7">
        <v>26.0</v>
      </c>
      <c r="J18" s="4"/>
      <c r="K18" s="4"/>
      <c r="L18" s="14"/>
      <c r="M18" s="3"/>
      <c r="N18" s="3"/>
      <c r="O18" s="3"/>
      <c r="P18" s="3"/>
      <c r="Q18" s="3"/>
    </row>
    <row r="19" ht="15.75" customHeight="1">
      <c r="B19" s="6">
        <f t="shared" si="3"/>
        <v>46097</v>
      </c>
      <c r="C19" s="7"/>
      <c r="D19" s="7"/>
      <c r="E19" s="7"/>
      <c r="F19" s="7"/>
      <c r="G19" s="7">
        <v>46.0</v>
      </c>
      <c r="H19" s="7"/>
      <c r="I19" s="7">
        <v>26.0</v>
      </c>
      <c r="J19" s="4"/>
      <c r="K19" s="4"/>
      <c r="L19" s="14"/>
      <c r="M19" s="3"/>
      <c r="N19" s="3"/>
      <c r="O19" s="3"/>
      <c r="P19" s="3"/>
      <c r="Q19" s="3"/>
    </row>
    <row r="20" ht="15.75" customHeight="1">
      <c r="B20" s="6">
        <f t="shared" si="3"/>
        <v>46104</v>
      </c>
      <c r="C20" s="7">
        <v>9.0</v>
      </c>
      <c r="D20" s="8">
        <v>133.0</v>
      </c>
      <c r="E20" s="7">
        <v>57.0</v>
      </c>
      <c r="F20" s="7"/>
      <c r="G20" s="7">
        <v>46.0</v>
      </c>
      <c r="H20" s="7">
        <v>110.0</v>
      </c>
      <c r="I20" s="7">
        <v>26.0</v>
      </c>
      <c r="J20" s="4"/>
      <c r="K20" s="4"/>
      <c r="L20" s="14"/>
      <c r="M20" s="3"/>
      <c r="N20" s="3"/>
      <c r="O20" s="3"/>
      <c r="P20" s="3"/>
      <c r="Q20" s="3"/>
    </row>
    <row r="21" ht="15.75" customHeight="1">
      <c r="B21" s="17">
        <f t="shared" si="3"/>
        <v>46111</v>
      </c>
      <c r="C21" s="7"/>
      <c r="D21" s="7"/>
      <c r="E21" s="7"/>
      <c r="F21" s="7"/>
      <c r="G21" s="7"/>
      <c r="H21" s="7"/>
      <c r="I21" s="7"/>
      <c r="J21" s="4"/>
      <c r="K21" s="4"/>
      <c r="L21" s="14"/>
      <c r="M21" s="3"/>
      <c r="N21" s="3"/>
      <c r="O21" s="3"/>
      <c r="P21" s="3"/>
      <c r="Q21" s="3"/>
    </row>
    <row r="22" ht="15.75" customHeight="1">
      <c r="B22" s="18" t="s">
        <v>13</v>
      </c>
      <c r="C22" s="7"/>
      <c r="D22" s="7"/>
      <c r="E22" s="7"/>
      <c r="F22" s="7"/>
      <c r="G22" s="7"/>
      <c r="H22" s="7"/>
      <c r="I22" s="7"/>
      <c r="J22" s="4"/>
      <c r="K22" s="4"/>
      <c r="L22" s="14"/>
      <c r="M22" s="3"/>
      <c r="N22" s="3"/>
      <c r="O22" s="3"/>
      <c r="P22" s="3"/>
      <c r="Q22" s="3"/>
    </row>
    <row r="23" ht="15.75" customHeight="1">
      <c r="B23" s="16"/>
      <c r="C23" s="10"/>
      <c r="D23" s="10"/>
      <c r="E23" s="10"/>
      <c r="F23" s="10"/>
      <c r="G23" s="10"/>
      <c r="H23" s="10"/>
      <c r="I23" s="10"/>
      <c r="J23" s="11" t="s">
        <v>14</v>
      </c>
      <c r="K23" s="12">
        <f>SUM(C17:I20)</f>
        <v>966</v>
      </c>
      <c r="L23" s="13">
        <f>$L$5*K23</f>
        <v>35638.3482</v>
      </c>
      <c r="M23" s="3"/>
      <c r="N23" s="3"/>
      <c r="O23" s="3"/>
      <c r="P23" s="3"/>
      <c r="Q23" s="3"/>
    </row>
    <row r="24" ht="15.75" customHeight="1">
      <c r="B24" s="6">
        <f>B21+7</f>
        <v>46118</v>
      </c>
      <c r="C24" s="7"/>
      <c r="D24" s="7"/>
      <c r="E24" s="7"/>
      <c r="F24" s="7"/>
      <c r="G24" s="7">
        <v>46.0</v>
      </c>
      <c r="H24" s="7"/>
      <c r="I24" s="7">
        <v>26.0</v>
      </c>
      <c r="J24" s="4"/>
      <c r="K24" s="4"/>
      <c r="L24" s="14"/>
      <c r="M24" s="3"/>
      <c r="N24" s="3"/>
      <c r="O24" s="3"/>
      <c r="P24" s="3"/>
      <c r="Q24" s="3"/>
    </row>
    <row r="25" ht="15.75" customHeight="1">
      <c r="B25" s="6">
        <f t="shared" ref="B25:B27" si="4">B24+7</f>
        <v>46125</v>
      </c>
      <c r="C25" s="7">
        <v>9.0</v>
      </c>
      <c r="D25" s="8">
        <v>133.0</v>
      </c>
      <c r="E25" s="7">
        <v>57.0</v>
      </c>
      <c r="F25" s="7">
        <v>60.0</v>
      </c>
      <c r="G25" s="7">
        <v>46.0</v>
      </c>
      <c r="H25" s="7">
        <v>110.0</v>
      </c>
      <c r="I25" s="7">
        <v>26.0</v>
      </c>
      <c r="J25" s="4"/>
      <c r="K25" s="4"/>
      <c r="L25" s="14"/>
      <c r="M25" s="3"/>
      <c r="N25" s="3"/>
      <c r="O25" s="3"/>
      <c r="P25" s="3"/>
      <c r="Q25" s="3"/>
    </row>
    <row r="26" ht="15.75" customHeight="1">
      <c r="B26" s="6">
        <f t="shared" si="4"/>
        <v>46132</v>
      </c>
      <c r="C26" s="7"/>
      <c r="D26" s="7"/>
      <c r="E26" s="7"/>
      <c r="F26" s="7"/>
      <c r="G26" s="7">
        <v>46.0</v>
      </c>
      <c r="H26" s="7"/>
      <c r="I26" s="7">
        <v>26.0</v>
      </c>
      <c r="J26" s="4"/>
      <c r="K26" s="4"/>
      <c r="L26" s="14"/>
      <c r="M26" s="3"/>
      <c r="N26" s="3"/>
      <c r="O26" s="3"/>
      <c r="P26" s="3"/>
      <c r="Q26" s="3"/>
    </row>
    <row r="27" ht="15.75" customHeight="1">
      <c r="B27" s="6">
        <f t="shared" si="4"/>
        <v>46139</v>
      </c>
      <c r="C27" s="7">
        <v>9.0</v>
      </c>
      <c r="D27" s="8">
        <v>133.0</v>
      </c>
      <c r="E27" s="7">
        <v>57.0</v>
      </c>
      <c r="F27" s="7"/>
      <c r="G27" s="7">
        <v>46.0</v>
      </c>
      <c r="H27" s="7">
        <v>110.0</v>
      </c>
      <c r="I27" s="7">
        <v>26.0</v>
      </c>
      <c r="J27" s="4"/>
      <c r="K27" s="4"/>
      <c r="L27" s="14"/>
      <c r="M27" s="3"/>
      <c r="N27" s="3"/>
      <c r="O27" s="3"/>
      <c r="P27" s="3"/>
      <c r="Q27" s="3"/>
    </row>
    <row r="28" ht="15.75" customHeight="1">
      <c r="B28" s="16"/>
      <c r="C28" s="10"/>
      <c r="D28" s="10"/>
      <c r="E28" s="10"/>
      <c r="F28" s="10"/>
      <c r="G28" s="10"/>
      <c r="H28" s="10"/>
      <c r="I28" s="10"/>
      <c r="J28" s="11" t="s">
        <v>15</v>
      </c>
      <c r="K28" s="12">
        <f>SUM(C24:I27)</f>
        <v>966</v>
      </c>
      <c r="L28" s="13">
        <f>$L$5*K28</f>
        <v>35638.3482</v>
      </c>
      <c r="M28" s="3"/>
      <c r="N28" s="3"/>
      <c r="O28" s="3"/>
      <c r="P28" s="3"/>
      <c r="Q28" s="3"/>
    </row>
    <row r="29" ht="15.75" customHeight="1">
      <c r="B29" s="6">
        <f>B27+7</f>
        <v>46146</v>
      </c>
      <c r="C29" s="7"/>
      <c r="D29" s="7"/>
      <c r="E29" s="7"/>
      <c r="F29" s="7"/>
      <c r="G29" s="7">
        <v>46.0</v>
      </c>
      <c r="H29" s="7"/>
      <c r="I29" s="7">
        <v>26.0</v>
      </c>
      <c r="J29" s="4"/>
      <c r="K29" s="4"/>
      <c r="L29" s="14"/>
      <c r="M29" s="3"/>
      <c r="N29" s="3"/>
      <c r="O29" s="3"/>
      <c r="P29" s="3"/>
      <c r="Q29" s="3"/>
    </row>
    <row r="30" ht="15.75" customHeight="1">
      <c r="B30" s="6">
        <f t="shared" ref="B30:B32" si="5">B29+7</f>
        <v>46153</v>
      </c>
      <c r="C30" s="7">
        <v>9.0</v>
      </c>
      <c r="D30" s="8">
        <v>133.0</v>
      </c>
      <c r="E30" s="7">
        <v>57.0</v>
      </c>
      <c r="F30" s="7">
        <v>60.0</v>
      </c>
      <c r="G30" s="7">
        <v>46.0</v>
      </c>
      <c r="H30" s="7">
        <v>110.0</v>
      </c>
      <c r="I30" s="7">
        <v>26.0</v>
      </c>
      <c r="J30" s="4"/>
      <c r="K30" s="4"/>
      <c r="L30" s="14"/>
      <c r="M30" s="3"/>
      <c r="N30" s="3"/>
      <c r="O30" s="3"/>
      <c r="P30" s="3"/>
      <c r="Q30" s="3"/>
    </row>
    <row r="31" ht="15.75" customHeight="1">
      <c r="B31" s="6">
        <f t="shared" si="5"/>
        <v>46160</v>
      </c>
      <c r="C31" s="7"/>
      <c r="D31" s="7"/>
      <c r="E31" s="7"/>
      <c r="F31" s="7"/>
      <c r="G31" s="7">
        <v>46.0</v>
      </c>
      <c r="H31" s="7"/>
      <c r="I31" s="7">
        <v>26.0</v>
      </c>
      <c r="J31" s="4"/>
      <c r="K31" s="4"/>
      <c r="L31" s="14"/>
      <c r="M31" s="3"/>
      <c r="N31" s="3"/>
      <c r="O31" s="3"/>
      <c r="P31" s="3"/>
      <c r="Q31" s="3"/>
    </row>
    <row r="32" ht="15.75" customHeight="1">
      <c r="B32" s="6">
        <f t="shared" si="5"/>
        <v>46167</v>
      </c>
      <c r="C32" s="7">
        <v>9.0</v>
      </c>
      <c r="D32" s="8">
        <v>133.0</v>
      </c>
      <c r="E32" s="7">
        <v>57.0</v>
      </c>
      <c r="F32" s="7"/>
      <c r="G32" s="7">
        <v>46.0</v>
      </c>
      <c r="H32" s="7">
        <v>110.0</v>
      </c>
      <c r="I32" s="7">
        <v>26.0</v>
      </c>
      <c r="J32" s="4"/>
      <c r="K32" s="4"/>
      <c r="L32" s="14"/>
      <c r="M32" s="3"/>
      <c r="N32" s="3"/>
      <c r="O32" s="3"/>
      <c r="P32" s="3"/>
      <c r="Q32" s="3"/>
    </row>
    <row r="33" ht="15.75" customHeight="1">
      <c r="B33" s="16"/>
      <c r="C33" s="10"/>
      <c r="D33" s="10"/>
      <c r="E33" s="10"/>
      <c r="F33" s="10"/>
      <c r="G33" s="10"/>
      <c r="H33" s="10"/>
      <c r="I33" s="10"/>
      <c r="J33" s="11" t="s">
        <v>16</v>
      </c>
      <c r="K33" s="12">
        <f>SUM(C29:I32)</f>
        <v>966</v>
      </c>
      <c r="L33" s="13">
        <f>$L$5*K33</f>
        <v>35638.3482</v>
      </c>
      <c r="M33" s="3"/>
      <c r="N33" s="3"/>
      <c r="O33" s="3"/>
      <c r="P33" s="3"/>
      <c r="Q33" s="3"/>
    </row>
    <row r="34" ht="15.75" customHeight="1">
      <c r="B34" s="6">
        <f>B32+7</f>
        <v>46174</v>
      </c>
      <c r="C34" s="7"/>
      <c r="D34" s="7"/>
      <c r="E34" s="7"/>
      <c r="F34" s="7"/>
      <c r="G34" s="7">
        <v>46.0</v>
      </c>
      <c r="H34" s="7"/>
      <c r="I34" s="7">
        <v>26.0</v>
      </c>
      <c r="J34" s="4"/>
      <c r="K34" s="19"/>
      <c r="L34" s="14"/>
      <c r="M34" s="3"/>
      <c r="N34" s="3"/>
      <c r="O34" s="3"/>
      <c r="P34" s="3"/>
      <c r="Q34" s="3"/>
    </row>
    <row r="35" ht="15.75" customHeight="1">
      <c r="B35" s="6">
        <f t="shared" ref="B35:B38" si="6">B34+7</f>
        <v>46181</v>
      </c>
      <c r="C35" s="7">
        <v>9.0</v>
      </c>
      <c r="D35" s="8">
        <v>133.0</v>
      </c>
      <c r="E35" s="7">
        <v>57.0</v>
      </c>
      <c r="F35" s="7">
        <v>60.0</v>
      </c>
      <c r="G35" s="7">
        <v>46.0</v>
      </c>
      <c r="H35" s="7">
        <v>110.0</v>
      </c>
      <c r="I35" s="7">
        <v>26.0</v>
      </c>
      <c r="J35" s="4"/>
      <c r="K35" s="4"/>
      <c r="L35" s="14"/>
      <c r="M35" s="3"/>
      <c r="N35" s="3"/>
      <c r="O35" s="3"/>
      <c r="P35" s="3"/>
      <c r="Q35" s="3"/>
    </row>
    <row r="36" ht="15.75" customHeight="1">
      <c r="B36" s="6">
        <f t="shared" si="6"/>
        <v>46188</v>
      </c>
      <c r="C36" s="7"/>
      <c r="D36" s="7"/>
      <c r="E36" s="7"/>
      <c r="F36" s="7"/>
      <c r="G36" s="7">
        <v>46.0</v>
      </c>
      <c r="H36" s="7"/>
      <c r="I36" s="7">
        <v>26.0</v>
      </c>
      <c r="J36" s="4"/>
      <c r="K36" s="4"/>
      <c r="L36" s="14"/>
      <c r="M36" s="3"/>
      <c r="N36" s="3"/>
      <c r="O36" s="3"/>
      <c r="P36" s="3"/>
      <c r="Q36" s="3"/>
    </row>
    <row r="37" ht="15.75" customHeight="1">
      <c r="B37" s="6">
        <f t="shared" si="6"/>
        <v>46195</v>
      </c>
      <c r="C37" s="7">
        <v>9.0</v>
      </c>
      <c r="D37" s="8">
        <v>133.0</v>
      </c>
      <c r="E37" s="7">
        <v>57.0</v>
      </c>
      <c r="F37" s="7"/>
      <c r="G37" s="7">
        <v>46.0</v>
      </c>
      <c r="H37" s="7">
        <v>110.0</v>
      </c>
      <c r="I37" s="7">
        <v>26.0</v>
      </c>
      <c r="J37" s="4"/>
      <c r="K37" s="4"/>
      <c r="L37" s="14"/>
      <c r="M37" s="3"/>
      <c r="N37" s="3"/>
      <c r="O37" s="3"/>
      <c r="P37" s="3"/>
      <c r="Q37" s="3"/>
    </row>
    <row r="38" ht="15.75" customHeight="1">
      <c r="B38" s="6">
        <f t="shared" si="6"/>
        <v>46202</v>
      </c>
      <c r="C38" s="7"/>
      <c r="D38" s="7"/>
      <c r="E38" s="7"/>
      <c r="F38" s="7"/>
      <c r="G38" s="7">
        <v>46.0</v>
      </c>
      <c r="H38" s="7"/>
      <c r="I38" s="7">
        <v>26.0</v>
      </c>
      <c r="J38" s="4"/>
      <c r="K38" s="4"/>
      <c r="L38" s="14"/>
      <c r="M38" s="3"/>
      <c r="N38" s="3"/>
      <c r="O38" s="3"/>
      <c r="P38" s="3"/>
      <c r="Q38" s="3"/>
    </row>
    <row r="39" ht="15.75" customHeight="1">
      <c r="B39" s="9"/>
      <c r="C39" s="20"/>
      <c r="D39" s="20"/>
      <c r="E39" s="20"/>
      <c r="F39" s="20"/>
      <c r="G39" s="20"/>
      <c r="H39" s="20"/>
      <c r="I39" s="20"/>
      <c r="J39" s="11" t="s">
        <v>17</v>
      </c>
      <c r="K39" s="12">
        <f>SUM(C34:I38)</f>
        <v>1038</v>
      </c>
      <c r="L39" s="13">
        <f>$L$5*K39</f>
        <v>38294.6226</v>
      </c>
      <c r="M39" s="3"/>
      <c r="N39" s="3"/>
      <c r="O39" s="3"/>
      <c r="P39" s="3"/>
      <c r="Q39" s="3"/>
    </row>
    <row r="40" ht="15.75" customHeight="1">
      <c r="B40" s="6">
        <f>B38+7</f>
        <v>46209</v>
      </c>
      <c r="C40" s="7"/>
      <c r="D40" s="8">
        <v>133.0</v>
      </c>
      <c r="E40" s="7">
        <v>57.0</v>
      </c>
      <c r="F40" s="7">
        <v>60.0</v>
      </c>
      <c r="G40" s="7">
        <v>46.0</v>
      </c>
      <c r="H40" s="7">
        <v>110.0</v>
      </c>
      <c r="I40" s="7">
        <v>26.0</v>
      </c>
      <c r="J40" s="4"/>
      <c r="K40" s="4"/>
      <c r="L40" s="14"/>
      <c r="M40" s="3"/>
      <c r="N40" s="3"/>
      <c r="O40" s="3"/>
      <c r="P40" s="3"/>
      <c r="Q40" s="3"/>
    </row>
    <row r="41" ht="15.75" customHeight="1">
      <c r="B41" s="6">
        <f t="shared" ref="B41:B43" si="7">B40+7</f>
        <v>46216</v>
      </c>
      <c r="C41" s="7">
        <v>9.0</v>
      </c>
      <c r="D41" s="7"/>
      <c r="E41" s="7"/>
      <c r="F41" s="7"/>
      <c r="G41" s="7">
        <v>46.0</v>
      </c>
      <c r="H41" s="7"/>
      <c r="I41" s="7">
        <v>26.0</v>
      </c>
      <c r="J41" s="4"/>
      <c r="K41" s="4"/>
      <c r="L41" s="14"/>
      <c r="M41" s="3"/>
      <c r="N41" s="3"/>
      <c r="O41" s="3"/>
      <c r="P41" s="3"/>
      <c r="Q41" s="3"/>
    </row>
    <row r="42" ht="15.75" customHeight="1">
      <c r="B42" s="6">
        <f t="shared" si="7"/>
        <v>46223</v>
      </c>
      <c r="C42" s="7"/>
      <c r="D42" s="8">
        <v>133.0</v>
      </c>
      <c r="E42" s="7">
        <v>57.0</v>
      </c>
      <c r="F42" s="7"/>
      <c r="G42" s="7">
        <v>46.0</v>
      </c>
      <c r="H42" s="7">
        <v>110.0</v>
      </c>
      <c r="I42" s="7">
        <v>26.0</v>
      </c>
      <c r="J42" s="4"/>
      <c r="K42" s="4"/>
      <c r="L42" s="14"/>
      <c r="M42" s="3"/>
      <c r="N42" s="3"/>
      <c r="O42" s="3"/>
      <c r="P42" s="3"/>
      <c r="Q42" s="3"/>
    </row>
    <row r="43" ht="15.75" customHeight="1">
      <c r="B43" s="6">
        <f t="shared" si="7"/>
        <v>46230</v>
      </c>
      <c r="C43" s="7">
        <v>9.0</v>
      </c>
      <c r="D43" s="7"/>
      <c r="E43" s="7"/>
      <c r="F43" s="7"/>
      <c r="G43" s="7">
        <v>46.0</v>
      </c>
      <c r="H43" s="7"/>
      <c r="I43" s="7">
        <v>26.0</v>
      </c>
      <c r="J43" s="4"/>
      <c r="K43" s="4"/>
      <c r="L43" s="14"/>
      <c r="M43" s="3"/>
      <c r="N43" s="3"/>
      <c r="O43" s="3"/>
      <c r="P43" s="3"/>
      <c r="Q43" s="3"/>
    </row>
    <row r="44" ht="15.75" customHeight="1">
      <c r="B44" s="16"/>
      <c r="C44" s="10"/>
      <c r="D44" s="10"/>
      <c r="E44" s="10"/>
      <c r="F44" s="10"/>
      <c r="G44" s="10"/>
      <c r="H44" s="10"/>
      <c r="I44" s="10"/>
      <c r="J44" s="21" t="s">
        <v>18</v>
      </c>
      <c r="K44" s="12">
        <f>SUM(C40:I43)</f>
        <v>966</v>
      </c>
      <c r="L44" s="13">
        <f>$L$5*K44</f>
        <v>35638.3482</v>
      </c>
      <c r="M44" s="3"/>
      <c r="N44" s="3"/>
      <c r="O44" s="3"/>
      <c r="P44" s="3"/>
      <c r="Q44" s="3"/>
    </row>
    <row r="45" ht="15.75" customHeight="1">
      <c r="B45" s="6">
        <f>B43+7</f>
        <v>46237</v>
      </c>
      <c r="C45" s="7">
        <v>9.0</v>
      </c>
      <c r="D45" s="8">
        <v>133.0</v>
      </c>
      <c r="E45" s="7">
        <v>57.0</v>
      </c>
      <c r="F45" s="7">
        <v>60.0</v>
      </c>
      <c r="G45" s="7">
        <v>46.0</v>
      </c>
      <c r="H45" s="7">
        <v>110.0</v>
      </c>
      <c r="I45" s="7">
        <v>26.0</v>
      </c>
      <c r="J45" s="4"/>
      <c r="K45" s="4"/>
      <c r="L45" s="14"/>
      <c r="M45" s="3"/>
      <c r="N45" s="3"/>
      <c r="O45" s="3"/>
      <c r="P45" s="3"/>
      <c r="Q45" s="3"/>
    </row>
    <row r="46" ht="15.75" customHeight="1">
      <c r="B46" s="6">
        <f t="shared" ref="B46:B49" si="8">B45+7</f>
        <v>46244</v>
      </c>
      <c r="C46" s="7"/>
      <c r="D46" s="7"/>
      <c r="E46" s="7"/>
      <c r="F46" s="7"/>
      <c r="G46" s="7">
        <v>46.0</v>
      </c>
      <c r="H46" s="7"/>
      <c r="I46" s="7">
        <v>26.0</v>
      </c>
      <c r="J46" s="4"/>
      <c r="K46" s="4"/>
      <c r="L46" s="14"/>
      <c r="M46" s="3"/>
      <c r="N46" s="3"/>
      <c r="O46" s="3"/>
      <c r="P46" s="3"/>
      <c r="Q46" s="3"/>
    </row>
    <row r="47" ht="15.75" customHeight="1">
      <c r="B47" s="6">
        <f t="shared" si="8"/>
        <v>46251</v>
      </c>
      <c r="C47" s="7">
        <v>9.0</v>
      </c>
      <c r="D47" s="8">
        <v>133.0</v>
      </c>
      <c r="E47" s="7">
        <v>57.0</v>
      </c>
      <c r="F47" s="7"/>
      <c r="G47" s="7">
        <v>46.0</v>
      </c>
      <c r="H47" s="7">
        <v>110.0</v>
      </c>
      <c r="I47" s="7">
        <v>26.0</v>
      </c>
      <c r="J47" s="4"/>
      <c r="K47" s="4"/>
      <c r="L47" s="14"/>
      <c r="M47" s="3"/>
      <c r="N47" s="3"/>
      <c r="O47" s="3"/>
      <c r="P47" s="3"/>
      <c r="Q47" s="3"/>
    </row>
    <row r="48" ht="15.75" customHeight="1">
      <c r="B48" s="6">
        <f t="shared" si="8"/>
        <v>46258</v>
      </c>
      <c r="C48" s="7"/>
      <c r="D48" s="7"/>
      <c r="E48" s="7"/>
      <c r="F48" s="7"/>
      <c r="G48" s="7">
        <v>46.0</v>
      </c>
      <c r="H48" s="7"/>
      <c r="I48" s="7">
        <v>26.0</v>
      </c>
      <c r="J48" s="4"/>
      <c r="K48" s="4"/>
      <c r="L48" s="14"/>
      <c r="M48" s="3"/>
      <c r="N48" s="3"/>
      <c r="O48" s="3"/>
      <c r="P48" s="3"/>
      <c r="Q48" s="3"/>
    </row>
    <row r="49" ht="15.75" customHeight="1">
      <c r="B49" s="17">
        <f t="shared" si="8"/>
        <v>46265</v>
      </c>
      <c r="C49" s="7">
        <v>9.0</v>
      </c>
      <c r="D49" s="8">
        <v>133.0</v>
      </c>
      <c r="E49" s="7">
        <v>57.0</v>
      </c>
      <c r="F49" s="7"/>
      <c r="G49" s="7">
        <v>46.0</v>
      </c>
      <c r="H49" s="7">
        <v>110.0</v>
      </c>
      <c r="I49" s="7">
        <v>26.0</v>
      </c>
      <c r="J49" s="4"/>
      <c r="K49" s="4"/>
      <c r="L49" s="14"/>
      <c r="M49" s="3"/>
      <c r="N49" s="3"/>
      <c r="O49" s="3"/>
      <c r="P49" s="3"/>
      <c r="Q49" s="3"/>
    </row>
    <row r="50" ht="15.75" customHeight="1">
      <c r="B50" s="16"/>
      <c r="C50" s="10"/>
      <c r="D50" s="10"/>
      <c r="E50" s="10"/>
      <c r="F50" s="10"/>
      <c r="G50" s="10"/>
      <c r="H50" s="10"/>
      <c r="I50" s="10"/>
      <c r="J50" s="21" t="s">
        <v>19</v>
      </c>
      <c r="K50" s="12">
        <f>SUM(C45:I49)</f>
        <v>1347</v>
      </c>
      <c r="L50" s="13">
        <f>$L$5*K50</f>
        <v>49694.4669</v>
      </c>
      <c r="M50" s="3"/>
      <c r="N50" s="3"/>
      <c r="O50" s="3"/>
      <c r="P50" s="3"/>
      <c r="Q50" s="3"/>
    </row>
    <row r="51" ht="15.75" customHeight="1">
      <c r="B51" s="22" t="s">
        <v>20</v>
      </c>
      <c r="C51" s="7"/>
      <c r="D51" s="7"/>
      <c r="E51" s="7"/>
      <c r="F51" s="7"/>
      <c r="G51" s="7"/>
      <c r="H51" s="7"/>
      <c r="I51" s="7"/>
      <c r="J51" s="4"/>
      <c r="K51" s="4"/>
      <c r="L51" s="14"/>
      <c r="M51" s="3"/>
      <c r="N51" s="3"/>
      <c r="O51" s="3"/>
      <c r="P51" s="3"/>
      <c r="Q51" s="3"/>
    </row>
    <row r="52" ht="15.75" customHeight="1">
      <c r="B52" s="23">
        <v>46279.0</v>
      </c>
      <c r="C52" s="7">
        <v>9.0</v>
      </c>
      <c r="D52" s="8">
        <v>133.0</v>
      </c>
      <c r="E52" s="7">
        <v>57.0</v>
      </c>
      <c r="F52" s="7">
        <v>60.0</v>
      </c>
      <c r="G52" s="7">
        <v>46.0</v>
      </c>
      <c r="H52" s="7">
        <v>110.0</v>
      </c>
      <c r="I52" s="7">
        <v>26.0</v>
      </c>
      <c r="J52" s="4"/>
      <c r="K52" s="4"/>
      <c r="L52" s="14"/>
      <c r="M52" s="3"/>
      <c r="N52" s="3"/>
      <c r="O52" s="3"/>
      <c r="P52" s="3"/>
      <c r="Q52" s="3"/>
    </row>
    <row r="53" ht="15.75" customHeight="1">
      <c r="B53" s="6">
        <f t="shared" ref="B53:B54" si="9">B52+7</f>
        <v>46286</v>
      </c>
      <c r="C53" s="7"/>
      <c r="D53" s="7"/>
      <c r="E53" s="7"/>
      <c r="F53" s="7"/>
      <c r="G53" s="7">
        <v>46.0</v>
      </c>
      <c r="H53" s="7"/>
      <c r="I53" s="7">
        <v>26.0</v>
      </c>
      <c r="J53" s="4"/>
      <c r="K53" s="4"/>
      <c r="L53" s="14"/>
      <c r="M53" s="3"/>
      <c r="N53" s="3"/>
      <c r="O53" s="3"/>
      <c r="P53" s="3"/>
      <c r="Q53" s="3"/>
    </row>
    <row r="54" ht="15.75" customHeight="1">
      <c r="B54" s="6">
        <f t="shared" si="9"/>
        <v>46293</v>
      </c>
      <c r="C54" s="7">
        <v>9.0</v>
      </c>
      <c r="D54" s="8">
        <v>133.0</v>
      </c>
      <c r="E54" s="7">
        <v>57.0</v>
      </c>
      <c r="F54" s="7"/>
      <c r="G54" s="7">
        <v>46.0</v>
      </c>
      <c r="H54" s="7">
        <v>110.0</v>
      </c>
      <c r="I54" s="7">
        <v>26.0</v>
      </c>
      <c r="J54" s="4"/>
      <c r="K54" s="4"/>
      <c r="L54" s="14"/>
      <c r="M54" s="3"/>
      <c r="N54" s="3"/>
      <c r="O54" s="3"/>
      <c r="P54" s="3"/>
      <c r="Q54" s="3"/>
    </row>
    <row r="55" ht="15.75" customHeight="1">
      <c r="B55" s="16"/>
      <c r="C55" s="10"/>
      <c r="D55" s="10"/>
      <c r="E55" s="10"/>
      <c r="F55" s="10"/>
      <c r="G55" s="10"/>
      <c r="H55" s="10"/>
      <c r="I55" s="10"/>
      <c r="J55" s="21" t="s">
        <v>21</v>
      </c>
      <c r="K55" s="12">
        <f>SUM(C50:I54)</f>
        <v>894</v>
      </c>
      <c r="L55" s="13">
        <f>$L$5*K55</f>
        <v>32982.0738</v>
      </c>
      <c r="M55" s="3"/>
      <c r="N55" s="3"/>
      <c r="O55" s="3"/>
      <c r="P55" s="3"/>
      <c r="Q55" s="3"/>
    </row>
    <row r="56" ht="15.75" customHeight="1">
      <c r="B56" s="6">
        <f>B54+7</f>
        <v>46300</v>
      </c>
      <c r="C56" s="7"/>
      <c r="D56" s="7"/>
      <c r="E56" s="7"/>
      <c r="F56" s="7"/>
      <c r="G56" s="7">
        <v>46.0</v>
      </c>
      <c r="H56" s="7"/>
      <c r="I56" s="7">
        <v>26.0</v>
      </c>
      <c r="J56" s="4"/>
      <c r="K56" s="4"/>
      <c r="L56" s="14"/>
    </row>
    <row r="57" ht="15.75" customHeight="1">
      <c r="B57" s="6">
        <f t="shared" ref="B57:B59" si="10">B56+7</f>
        <v>46307</v>
      </c>
      <c r="C57" s="7">
        <v>9.0</v>
      </c>
      <c r="D57" s="8">
        <v>133.0</v>
      </c>
      <c r="E57" s="7">
        <v>57.0</v>
      </c>
      <c r="F57" s="7">
        <v>60.0</v>
      </c>
      <c r="G57" s="7">
        <v>46.0</v>
      </c>
      <c r="H57" s="7">
        <v>110.0</v>
      </c>
      <c r="I57" s="7">
        <v>26.0</v>
      </c>
      <c r="J57" s="4"/>
      <c r="K57" s="4"/>
      <c r="L57" s="14"/>
    </row>
    <row r="58" ht="15.75" customHeight="1">
      <c r="B58" s="6">
        <f t="shared" si="10"/>
        <v>46314</v>
      </c>
      <c r="C58" s="7"/>
      <c r="D58" s="7"/>
      <c r="E58" s="7"/>
      <c r="F58" s="7"/>
      <c r="G58" s="7">
        <v>46.0</v>
      </c>
      <c r="H58" s="7"/>
      <c r="I58" s="7">
        <v>26.0</v>
      </c>
      <c r="J58" s="4"/>
      <c r="K58" s="4"/>
      <c r="L58" s="14"/>
    </row>
    <row r="59" ht="15.75" customHeight="1">
      <c r="B59" s="6">
        <f t="shared" si="10"/>
        <v>46321</v>
      </c>
      <c r="C59" s="7">
        <v>9.0</v>
      </c>
      <c r="D59" s="8">
        <v>133.0</v>
      </c>
      <c r="E59" s="7">
        <v>57.0</v>
      </c>
      <c r="F59" s="7"/>
      <c r="G59" s="7">
        <v>46.0</v>
      </c>
      <c r="H59" s="7">
        <v>110.0</v>
      </c>
      <c r="I59" s="7">
        <v>26.0</v>
      </c>
      <c r="J59" s="4"/>
      <c r="K59" s="4"/>
      <c r="L59" s="14"/>
    </row>
    <row r="60" ht="15.75" customHeight="1">
      <c r="B60" s="16"/>
      <c r="C60" s="10"/>
      <c r="D60" s="10"/>
      <c r="E60" s="10"/>
      <c r="F60" s="10"/>
      <c r="G60" s="10"/>
      <c r="H60" s="10"/>
      <c r="I60" s="10"/>
      <c r="J60" s="21" t="s">
        <v>22</v>
      </c>
      <c r="K60" s="12">
        <f>SUM(C56:I59)</f>
        <v>966</v>
      </c>
      <c r="L60" s="13">
        <f>$L$5*K60</f>
        <v>35638.3482</v>
      </c>
    </row>
    <row r="61" ht="15.75" customHeight="1">
      <c r="B61" s="6">
        <f>B59+7</f>
        <v>46328</v>
      </c>
      <c r="C61" s="7"/>
      <c r="D61" s="7"/>
      <c r="E61" s="7"/>
      <c r="F61" s="7"/>
      <c r="G61" s="7">
        <v>46.0</v>
      </c>
      <c r="H61" s="7"/>
      <c r="I61" s="7">
        <v>26.0</v>
      </c>
      <c r="J61" s="4"/>
      <c r="K61" s="19"/>
      <c r="L61" s="14"/>
    </row>
    <row r="62" ht="15.75" customHeight="1">
      <c r="B62" s="6">
        <f t="shared" ref="B62:B65" si="11">B61+7</f>
        <v>46335</v>
      </c>
      <c r="C62" s="7">
        <v>9.0</v>
      </c>
      <c r="D62" s="8">
        <v>133.0</v>
      </c>
      <c r="E62" s="7">
        <v>57.0</v>
      </c>
      <c r="F62" s="7">
        <v>60.0</v>
      </c>
      <c r="G62" s="7">
        <v>46.0</v>
      </c>
      <c r="H62" s="7">
        <v>110.0</v>
      </c>
      <c r="I62" s="7">
        <v>26.0</v>
      </c>
      <c r="J62" s="4"/>
      <c r="K62" s="4"/>
      <c r="L62" s="14"/>
    </row>
    <row r="63" ht="15.75" customHeight="1">
      <c r="B63" s="6">
        <f t="shared" si="11"/>
        <v>46342</v>
      </c>
      <c r="C63" s="7"/>
      <c r="D63" s="7"/>
      <c r="E63" s="7"/>
      <c r="F63" s="7"/>
      <c r="G63" s="7">
        <v>46.0</v>
      </c>
      <c r="H63" s="7"/>
      <c r="I63" s="7">
        <v>26.0</v>
      </c>
      <c r="J63" s="4"/>
      <c r="K63" s="4"/>
      <c r="L63" s="14"/>
    </row>
    <row r="64" ht="15.75" customHeight="1">
      <c r="B64" s="6">
        <f t="shared" si="11"/>
        <v>46349</v>
      </c>
      <c r="C64" s="7">
        <v>9.0</v>
      </c>
      <c r="D64" s="8">
        <v>133.0</v>
      </c>
      <c r="E64" s="7">
        <v>57.0</v>
      </c>
      <c r="F64" s="7"/>
      <c r="G64" s="7">
        <v>46.0</v>
      </c>
      <c r="H64" s="7">
        <v>110.0</v>
      </c>
      <c r="I64" s="7">
        <v>26.0</v>
      </c>
      <c r="J64" s="4"/>
      <c r="K64" s="4"/>
      <c r="L64" s="14"/>
    </row>
    <row r="65" ht="15.75" customHeight="1">
      <c r="B65" s="6">
        <f t="shared" si="11"/>
        <v>46356</v>
      </c>
      <c r="C65" s="7"/>
      <c r="D65" s="7"/>
      <c r="E65" s="7"/>
      <c r="F65" s="7"/>
      <c r="G65" s="7">
        <v>46.0</v>
      </c>
      <c r="H65" s="7"/>
      <c r="I65" s="7">
        <v>26.0</v>
      </c>
      <c r="J65" s="4"/>
      <c r="K65" s="4"/>
      <c r="L65" s="14"/>
    </row>
    <row r="66" ht="15.75" customHeight="1">
      <c r="B66" s="9"/>
      <c r="C66" s="20"/>
      <c r="D66" s="20"/>
      <c r="E66" s="20"/>
      <c r="F66" s="20"/>
      <c r="G66" s="20"/>
      <c r="H66" s="20"/>
      <c r="I66" s="20"/>
      <c r="J66" s="21" t="s">
        <v>23</v>
      </c>
      <c r="K66" s="12">
        <f>SUM(C61:I65)</f>
        <v>1038</v>
      </c>
      <c r="L66" s="13">
        <f>$L$5*K66</f>
        <v>38294.6226</v>
      </c>
    </row>
    <row r="67" ht="15.75" customHeight="1">
      <c r="B67" s="6">
        <f>B65+7</f>
        <v>46363</v>
      </c>
      <c r="C67" s="7">
        <v>9.0</v>
      </c>
      <c r="D67" s="8">
        <v>133.0</v>
      </c>
      <c r="E67" s="7">
        <v>57.0</v>
      </c>
      <c r="F67" s="7">
        <v>60.0</v>
      </c>
      <c r="G67" s="7">
        <v>46.0</v>
      </c>
      <c r="H67" s="7">
        <v>110.0</v>
      </c>
      <c r="I67" s="7">
        <v>26.0</v>
      </c>
      <c r="J67" s="4"/>
      <c r="K67" s="4"/>
      <c r="L67" s="14"/>
    </row>
    <row r="68" ht="15.75" customHeight="1">
      <c r="B68" s="6">
        <f t="shared" ref="B68:B70" si="12">B67+7</f>
        <v>46370</v>
      </c>
      <c r="C68" s="7"/>
      <c r="D68" s="7"/>
      <c r="E68" s="7"/>
      <c r="F68" s="7"/>
      <c r="G68" s="7">
        <v>46.0</v>
      </c>
      <c r="H68" s="7"/>
      <c r="I68" s="7">
        <v>26.0</v>
      </c>
      <c r="J68" s="4"/>
      <c r="K68" s="4"/>
      <c r="L68" s="14"/>
    </row>
    <row r="69" ht="15.75" customHeight="1">
      <c r="B69" s="6">
        <f t="shared" si="12"/>
        <v>46377</v>
      </c>
      <c r="C69" s="7">
        <v>9.0</v>
      </c>
      <c r="D69" s="8">
        <v>133.0</v>
      </c>
      <c r="E69" s="7">
        <v>57.0</v>
      </c>
      <c r="F69" s="7"/>
      <c r="G69" s="7">
        <v>46.0</v>
      </c>
      <c r="H69" s="7">
        <v>110.0</v>
      </c>
      <c r="I69" s="7">
        <v>26.0</v>
      </c>
      <c r="J69" s="4"/>
      <c r="K69" s="4"/>
      <c r="L69" s="14"/>
    </row>
    <row r="70" ht="15.75" customHeight="1">
      <c r="B70" s="6">
        <f t="shared" si="12"/>
        <v>46384</v>
      </c>
      <c r="C70" s="7"/>
      <c r="D70" s="7"/>
      <c r="E70" s="7"/>
      <c r="F70" s="7"/>
      <c r="G70" s="7">
        <v>46.0</v>
      </c>
      <c r="H70" s="7"/>
      <c r="I70" s="7">
        <v>26.0</v>
      </c>
      <c r="J70" s="4"/>
      <c r="K70" s="4"/>
      <c r="L70" s="14"/>
    </row>
    <row r="71" ht="15.75" customHeight="1">
      <c r="B71" s="16"/>
      <c r="C71" s="10"/>
      <c r="D71" s="10"/>
      <c r="E71" s="10"/>
      <c r="F71" s="10"/>
      <c r="G71" s="10"/>
      <c r="H71" s="10"/>
      <c r="I71" s="10"/>
      <c r="J71" s="21" t="s">
        <v>24</v>
      </c>
      <c r="K71" s="12">
        <f>SUM(C67:I70)</f>
        <v>966</v>
      </c>
      <c r="L71" s="13">
        <f>$L$5*K71</f>
        <v>35638.3482</v>
      </c>
      <c r="M71" s="3"/>
      <c r="N71" s="3"/>
      <c r="O71" s="3"/>
      <c r="P71" s="3"/>
      <c r="Q71" s="3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2025-12-30T12:09:37Z</dcterms:created>
  <dc:creator>שלמה דרורי</dc:creator>
</cp:coreProperties>
</file>