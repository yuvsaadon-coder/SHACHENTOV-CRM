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uvalSa\Downloads\"/>
    </mc:Choice>
  </mc:AlternateContent>
  <xr:revisionPtr revIDLastSave="0" documentId="13_ncr:1_{EC9A53EE-38C1-4A75-8A40-90F0FE01A17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תפקידים שכן טוב" sheetId="1" r:id="rId1"/>
    <sheet name="אנשי קשר חשובים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3S6KOJApY4N9p4jIfY3K6kFheqt5ob01cai/8bLm87M="/>
    </ext>
  </extLst>
</workbook>
</file>

<file path=xl/calcChain.xml><?xml version="1.0" encoding="utf-8"?>
<calcChain xmlns="http://schemas.openxmlformats.org/spreadsheetml/2006/main">
  <c r="D4" i="2" l="1"/>
</calcChain>
</file>

<file path=xl/sharedStrings.xml><?xml version="1.0" encoding="utf-8"?>
<sst xmlns="http://schemas.openxmlformats.org/spreadsheetml/2006/main" count="450" uniqueCount="328">
  <si>
    <t>תפקיד</t>
  </si>
  <si>
    <t>אזור הפעילות</t>
  </si>
  <si>
    <t>אחראי</t>
  </si>
  <si>
    <t>טלפון</t>
  </si>
  <si>
    <t>מייל</t>
  </si>
  <si>
    <t>סטטוס</t>
  </si>
  <si>
    <t>הערות נוספות</t>
  </si>
  <si>
    <t>אנשי קשר כללי</t>
  </si>
  <si>
    <t>מטה - ועד מנהל</t>
  </si>
  <si>
    <t>שם חברה</t>
  </si>
  <si>
    <t>שם איש קשר</t>
  </si>
  <si>
    <t>איש קשר מטעם העמותה</t>
  </si>
  <si>
    <t>מתי נערך הקשר?</t>
  </si>
  <si>
    <t xml:space="preserve">מנכ"ל  </t>
  </si>
  <si>
    <t>ירושלים</t>
  </si>
  <si>
    <t>הילה קזימירסקי</t>
  </si>
  <si>
    <t>054-5351811</t>
  </si>
  <si>
    <t>ceo@shachentov.org.il</t>
  </si>
  <si>
    <t>מישל סמואל</t>
  </si>
  <si>
    <t>רואה חשבון</t>
  </si>
  <si>
    <t xml:space="preserve">יגאל </t>
  </si>
  <si>
    <t>02-5638887</t>
  </si>
  <si>
    <r>
      <rPr>
        <u/>
        <sz val="13"/>
        <color rgb="FF0000FF"/>
        <rFont val="David, sans-serif"/>
      </rPr>
      <t>bsmcpa@isdm.net.il</t>
    </r>
    <r>
      <rPr>
        <u/>
        <sz val="13"/>
        <color rgb="FF0000FF"/>
        <rFont val="David, sans-serif"/>
      </rPr>
      <t xml:space="preserve">  -לידי מישל,  Samulem1@bezeqint.net</t>
    </r>
  </si>
  <si>
    <t>הילה/אילן</t>
  </si>
  <si>
    <t>שוקי קפלר (חברת כלל)</t>
  </si>
  <si>
    <t>חברת ביטוח מתנדבים</t>
  </si>
  <si>
    <t>מירי</t>
  </si>
  <si>
    <t>יציב</t>
  </si>
  <si>
    <t xml:space="preserve">מנהל כספים  </t>
  </si>
  <si>
    <t>mirim@klapper.co.il</t>
  </si>
  <si>
    <t>אילן אמסל</t>
  </si>
  <si>
    <t>הילה</t>
  </si>
  <si>
    <t>cfo@shachentov.org.il</t>
  </si>
  <si>
    <t>סביב מרץ כל שנה</t>
  </si>
  <si>
    <t xml:space="preserve">מנהל מתנדבים  </t>
  </si>
  <si>
    <t>מנהל חשבונות</t>
  </si>
  <si>
    <t>שמוליק אלקלעי</t>
  </si>
  <si>
    <t>שיר בתאל סומך</t>
  </si>
  <si>
    <t>055-9637354</t>
  </si>
  <si>
    <t>volunteers.m@shachentov.org.il</t>
  </si>
  <si>
    <t>בנק לאומי גבעת שאול</t>
  </si>
  <si>
    <t>בנקאי</t>
  </si>
  <si>
    <t>שי</t>
  </si>
  <si>
    <t xml:space="preserve">מנהל סניפי מזון ירושלים  </t>
  </si>
  <si>
    <t>הילה, אילן, אפרת, דלית</t>
  </si>
  <si>
    <t>יובל סעדון</t>
  </si>
  <si>
    <t>052-6545572</t>
  </si>
  <si>
    <t>jfood@shachentov.org.il</t>
  </si>
  <si>
    <t>ישראל תורמת</t>
  </si>
  <si>
    <t>מנכ"ל</t>
  </si>
  <si>
    <t>יונתן בן דור</t>
  </si>
  <si>
    <t>050-8800969</t>
  </si>
  <si>
    <t>yonatan.bendor@israelgives.org</t>
  </si>
  <si>
    <t xml:space="preserve">מנהל בתי קפה נודדים  </t>
  </si>
  <si>
    <t xml:space="preserve"> חסר</t>
  </si>
  <si>
    <t xml:space="preserve">חסר </t>
  </si>
  <si>
    <t xml:space="preserve">דחוף </t>
  </si>
  <si>
    <t>רכזת תרומות ופרוייקטים מיוחדים</t>
  </si>
  <si>
    <t xml:space="preserve">ירושלים </t>
  </si>
  <si>
    <t>אפרת בנימין</t>
  </si>
  <si>
    <t>054-5996387</t>
  </si>
  <si>
    <t>מדרשת בית שאן</t>
  </si>
  <si>
    <t>trumot2@shachentov.org.il</t>
  </si>
  <si>
    <t>אחראית</t>
  </si>
  <si>
    <t>חווה</t>
  </si>
  <si>
    <t>04-6581816</t>
  </si>
  <si>
    <t>mbs@mbs.org.il</t>
  </si>
  <si>
    <t>הילה, אילן</t>
  </si>
  <si>
    <t>מנהל ספקים</t>
  </si>
  <si>
    <t>שלמה דרורי</t>
  </si>
  <si>
    <t>054-7331646</t>
  </si>
  <si>
    <t>projects@shachentov.org.il</t>
  </si>
  <si>
    <t>שדה מערכות</t>
  </si>
  <si>
    <t>הוראות קבע</t>
  </si>
  <si>
    <t>רחל</t>
  </si>
  <si>
    <t>03-6870777</t>
  </si>
  <si>
    <t>sade@sade.co.il</t>
  </si>
  <si>
    <t xml:space="preserve">מנהל מועדוני נוער  </t>
  </si>
  <si>
    <t>חסר</t>
  </si>
  <si>
    <t>youth@shachentov.org.il</t>
  </si>
  <si>
    <t>אחראי רכש</t>
  </si>
  <si>
    <t>אחראי רכש תל אביב</t>
  </si>
  <si>
    <t>אסף הלפרין</t>
  </si>
  <si>
    <t>מטה</t>
  </si>
  <si>
    <t>054-4366611, 054-7107042</t>
  </si>
  <si>
    <t>assafh2@gmail.com</t>
  </si>
  <si>
    <t>ורד</t>
  </si>
  <si>
    <t>עיצוב פרסומים</t>
  </si>
  <si>
    <t>דיקלה</t>
  </si>
  <si>
    <t>media@shachentov.org.il</t>
  </si>
  <si>
    <t>הרב מאיר קדוש</t>
  </si>
  <si>
    <t>סייע בהקמת העמותה</t>
  </si>
  <si>
    <t>-</t>
  </si>
  <si>
    <t>052-7146374</t>
  </si>
  <si>
    <t>כתיבת פוסטים</t>
  </si>
  <si>
    <t>יעל</t>
  </si>
  <si>
    <t>חן פריד?</t>
  </si>
  <si>
    <t>רכז תרומות</t>
  </si>
  <si>
    <t xml:space="preserve">דלית סין משה </t>
  </si>
  <si>
    <t>050-6819252</t>
  </si>
  <si>
    <t>trumot@shachentov.org.il</t>
  </si>
  <si>
    <t>ינון זעפרני</t>
  </si>
  <si>
    <t>מתנדב פעיל</t>
  </si>
  <si>
    <t>ינון</t>
  </si>
  <si>
    <t xml:space="preserve">רכזת פניות </t>
  </si>
  <si>
    <t>מילכה ברטיש</t>
  </si>
  <si>
    <t>info@shachentov.org.il</t>
  </si>
  <si>
    <t>קרן הוט</t>
  </si>
  <si>
    <t>מתווך התרומה</t>
  </si>
  <si>
    <t>ארני</t>
  </si>
  <si>
    <t>רכז פרוייקט שיפוץ בתים</t>
  </si>
  <si>
    <t>ספק רדיאטורים</t>
  </si>
  <si>
    <t>ספק</t>
  </si>
  <si>
    <t>אלי הנסב</t>
  </si>
  <si>
    <t>בינוני - חוסר</t>
  </si>
  <si>
    <t>סניפי חלוקת מזון - חוץ</t>
  </si>
  <si>
    <t>ספק שמיכות</t>
  </si>
  <si>
    <t>ציון</t>
  </si>
  <si>
    <t>054-347-4776</t>
  </si>
  <si>
    <t>מנהל חלוקת סלי מזון- בית שמש</t>
  </si>
  <si>
    <t>בית שמש</t>
  </si>
  <si>
    <t>רושי פרידמן</t>
  </si>
  <si>
    <t>052-7320074</t>
  </si>
  <si>
    <t>ביטוח לאומי</t>
  </si>
  <si>
    <t>אחראית התנדבות</t>
  </si>
  <si>
    <t>לינוי</t>
  </si>
  <si>
    <t xml:space="preserve"> 02-670-9700‬‏</t>
  </si>
  <si>
    <t>מאיר פרידמן</t>
  </si>
  <si>
    <t>052-3477913</t>
  </si>
  <si>
    <t>וועדת ביקורת עמותה</t>
  </si>
  <si>
    <t>מבקר</t>
  </si>
  <si>
    <t>סיגל שטיינברג</t>
  </si>
  <si>
    <t>מנהל חלוקת סלי מזון- תל אביב</t>
  </si>
  <si>
    <t>תל אביב</t>
  </si>
  <si>
    <t>ורד רבינוביץ</t>
  </si>
  <si>
    <t>054-4423118</t>
  </si>
  <si>
    <t>ועדת ביקורת עמותה</t>
  </si>
  <si>
    <t>דחוף מאוד- לקראת עזיבה/חוסר קריטי</t>
  </si>
  <si>
    <t>אור קרויזר</t>
  </si>
  <si>
    <t>מנהל חלוקת סלי מזון- קדימה</t>
  </si>
  <si>
    <t>קדימה</t>
  </si>
  <si>
    <t>גלית שפירא</t>
  </si>
  <si>
    <t>איציק חסידים (צפון)</t>
  </si>
  <si>
    <t>תורם</t>
  </si>
  <si>
    <t>איציק</t>
  </si>
  <si>
    <t>תורם לפרויקט שיפוץ בתים- דרך שת"פ בצפון</t>
  </si>
  <si>
    <t>מנהל חלוקת סלי מזון טבריה</t>
  </si>
  <si>
    <t>טבריה</t>
  </si>
  <si>
    <t>רן ושירה שרון</t>
  </si>
  <si>
    <t>054-6432281</t>
  </si>
  <si>
    <t>איתמר בן עזרא</t>
  </si>
  <si>
    <t>תורם קרטונים+ חלות קטמון+ מסייע בסופגניות ועוד</t>
  </si>
  <si>
    <t>shiraran@smile.net.il</t>
  </si>
  <si>
    <t>איתמר</t>
  </si>
  <si>
    <t>הילה, יובל, אילן</t>
  </si>
  <si>
    <t>דפוס הנביאים</t>
  </si>
  <si>
    <t>מנהל חלוקת סלי מזון- צפת</t>
  </si>
  <si>
    <t>בעל חנות</t>
  </si>
  <si>
    <t>צפת</t>
  </si>
  <si>
    <t>דודי</t>
  </si>
  <si>
    <t>רותי ודוד בן הרוש</t>
  </si>
  <si>
    <t>הילה/ אחראית מדיה</t>
  </si>
  <si>
    <t>הדפסות רול אפים לקראת ירידים</t>
  </si>
  <si>
    <t>מנהל חלוקת סלי מזון- קריית שמונה</t>
  </si>
  <si>
    <t xml:space="preserve">יונתן </t>
  </si>
  <si>
    <t>מתנדב מסייע</t>
  </si>
  <si>
    <t>קרית שמונה</t>
  </si>
  <si>
    <t>הרב ישי שכטר</t>
  </si>
  <si>
    <t>עוזר עם סופגניות,  עם נרות לחנוכה</t>
  </si>
  <si>
    <t>אחר</t>
  </si>
  <si>
    <t>יש לברר סטטוס סניף</t>
  </si>
  <si>
    <t>ביטוח לאומי- מחלקת ביטוח מתנדבים</t>
  </si>
  <si>
    <t>נציגה</t>
  </si>
  <si>
    <t>מנהל חלוקת סלי מזון- באר שבע</t>
  </si>
  <si>
    <t>באר שבע</t>
  </si>
  <si>
    <t>אינה</t>
  </si>
  <si>
    <t>050-7173266</t>
  </si>
  <si>
    <t>בשיתוף סל"ק ב"ש</t>
  </si>
  <si>
    <t>עורך דין שהתנדב בעבר</t>
  </si>
  <si>
    <t>עו"ד</t>
  </si>
  <si>
    <t>ענר בר אילן</t>
  </si>
  <si>
    <t>סניפי חלוקת מזון - ירושלים</t>
  </si>
  <si>
    <t>הילה, יובל</t>
  </si>
  <si>
    <t>אפשר להתייעץ לגבי עזבונות ועוד</t>
  </si>
  <si>
    <t>קותי- ספק שקיות</t>
  </si>
  <si>
    <t>קותי</t>
  </si>
  <si>
    <t>רכז סלי מזון- ירושלים- גילה</t>
  </si>
  <si>
    <t>לאה ליבנת</t>
  </si>
  <si>
    <t>שמולי בינג</t>
  </si>
  <si>
    <t>יזם שכן טוב</t>
  </si>
  <si>
    <t>שמולי</t>
  </si>
  <si>
    <t>רכז סלי מזון- ירושלים-רמות</t>
  </si>
  <si>
    <t>יאיר יעקבי</t>
  </si>
  <si>
    <t>עוזב בספטמבר</t>
  </si>
  <si>
    <t>סיגל דאדי</t>
  </si>
  <si>
    <t>בחפיפה- ניסיון</t>
  </si>
  <si>
    <t>רכז סלי מזון- ירושלים-בקעה</t>
  </si>
  <si>
    <t>שירה גולדברג</t>
  </si>
  <si>
    <t>ספקים פרוייקט סלי מזון</t>
  </si>
  <si>
    <t>שירי תהילה</t>
  </si>
  <si>
    <t>רכז סלי מזון- ירושלים- נחלאות</t>
  </si>
  <si>
    <t>הדס צויבל</t>
  </si>
  <si>
    <t>052-8990130</t>
  </si>
  <si>
    <t>אריזות ירושלים</t>
  </si>
  <si>
    <t>ספק מוצרים יבשים</t>
  </si>
  <si>
    <t>חדווה</t>
  </si>
  <si>
    <t>יובל</t>
  </si>
  <si>
    <t xml:space="preserve">סביב הזמנות </t>
  </si>
  <si>
    <t>עוז בינר</t>
  </si>
  <si>
    <t>052-3763246</t>
  </si>
  <si>
    <t>תכלית (ירקות)</t>
  </si>
  <si>
    <t xml:space="preserve">אהרון תכלית- </t>
  </si>
  <si>
    <t>0523826668, 0733237607</t>
  </si>
  <si>
    <t xml:space="preserve">סביב הזמנות חצי שנתיות וחגים </t>
  </si>
  <si>
    <t>טפמברג יינות</t>
  </si>
  <si>
    <t xml:space="preserve">ספק יינות </t>
  </si>
  <si>
    <t>רכז סלי מזון- ירושלים-קרית יובל</t>
  </si>
  <si>
    <t>יהונתן אלבז</t>
  </si>
  <si>
    <t>לקראת עזיבה</t>
  </si>
  <si>
    <t>אלישי בר טימור</t>
  </si>
  <si>
    <t>?</t>
  </si>
  <si>
    <t>תרומות חלב</t>
  </si>
  <si>
    <t>איתמר בן עזרא- שת"פ עם מכולת</t>
  </si>
  <si>
    <t>יהודית קנטרוביץ</t>
  </si>
  <si>
    <t>מינימרקט ברוכים</t>
  </si>
  <si>
    <t>ספק עופות י-ם</t>
  </si>
  <si>
    <t>דב קראוס</t>
  </si>
  <si>
    <t>ברמן</t>
  </si>
  <si>
    <t>ספק חלות- י-ם, ת"א</t>
  </si>
  <si>
    <t>רוזה</t>
  </si>
  <si>
    <t>רכז סלי מזון- ירושלים- קטמון</t>
  </si>
  <si>
    <t>ציפי זלמנוביץ</t>
  </si>
  <si>
    <t>050-2114502</t>
  </si>
  <si>
    <t>אביטל עזיז</t>
  </si>
  <si>
    <t>054-7993453</t>
  </si>
  <si>
    <t>עמותת תכלית</t>
  </si>
  <si>
    <t>ספק ירקות י-ם</t>
  </si>
  <si>
    <t>אסתי בראור</t>
  </si>
  <si>
    <t>050-7691577</t>
  </si>
  <si>
    <t>ארגון לתת</t>
  </si>
  <si>
    <t>ספק מוצרי מזון ואריזה-טבריה</t>
  </si>
  <si>
    <t>כרמל קרופפלד</t>
  </si>
  <si>
    <t>054-6954475</t>
  </si>
  <si>
    <t>עוזבת בספטמבר</t>
  </si>
  <si>
    <t>הזמנת ביצים</t>
  </si>
  <si>
    <t>רכז סלי מזון- ירושלים-נווה יעקב</t>
  </si>
  <si>
    <t>בני</t>
  </si>
  <si>
    <t>נעמי</t>
  </si>
  <si>
    <t>052-3301495</t>
  </si>
  <si>
    <t>לתת</t>
  </si>
  <si>
    <t>חלי</t>
  </si>
  <si>
    <t>סאל שיווק בע"מ</t>
  </si>
  <si>
    <t>בתי קפה נודדים</t>
  </si>
  <si>
    <t>קותי שיווק</t>
  </si>
  <si>
    <t>רכז בית קפה נודד-ביה"ח כפר שאול</t>
  </si>
  <si>
    <t>אורן</t>
  </si>
  <si>
    <t>050-6095732</t>
  </si>
  <si>
    <t>פעילות דלה. לחשוב איך מרימים</t>
  </si>
  <si>
    <t>האחים גלאם</t>
  </si>
  <si>
    <t>רכז בית קפה נודד- בית אבות "משען" י-ם</t>
  </si>
  <si>
    <t>הודיה</t>
  </si>
  <si>
    <t xml:space="preserve"> 058-556-8595</t>
  </si>
  <si>
    <t>אריאל ובניו שיווק בשר בע"מ</t>
  </si>
  <si>
    <t>רכז בית קפה נודד- בית שאן</t>
  </si>
  <si>
    <t>בית שאן</t>
  </si>
  <si>
    <t>אפרת אברהם</t>
  </si>
  <si>
    <t xml:space="preserve"> 052-333-2609</t>
  </si>
  <si>
    <t>ביצי אביב</t>
  </si>
  <si>
    <t>טוסטר</t>
  </si>
  <si>
    <t>רכז מועדון נוער רמות</t>
  </si>
  <si>
    <t>מעל גיל 23</t>
  </si>
  <si>
    <t>רכז מועדון נוער- פסגת זאב</t>
  </si>
  <si>
    <t>אבי שרעבי</t>
  </si>
  <si>
    <t>050-2603396</t>
  </si>
  <si>
    <t>רכז- מועדון נוער קרית מנחם</t>
  </si>
  <si>
    <t>רכז הטוסטר מועדון נוער- גילה</t>
  </si>
  <si>
    <t>סניפי ופרוייקטים עיתיים</t>
  </si>
  <si>
    <t>רכזים סניף מזון פתח תקווה</t>
  </si>
  <si>
    <t>פתח תקווה</t>
  </si>
  <si>
    <t>חיליק שני</t>
  </si>
  <si>
    <t>חלוקות בחגים</t>
  </si>
  <si>
    <t>ספקים ארבעת המינים</t>
  </si>
  <si>
    <t>יאיר ליימן</t>
  </si>
  <si>
    <t>רכז יריד ארבעת המינים</t>
  </si>
  <si>
    <t>מתן קוסלובסקי</t>
  </si>
  <si>
    <t>אתרוגי הפרדס</t>
  </si>
  <si>
    <t>מנהל</t>
  </si>
  <si>
    <t>אסף גולדשמיט</t>
  </si>
  <si>
    <t>יוסף פרץ</t>
  </si>
  <si>
    <t>0525709209/02-6236467</t>
  </si>
  <si>
    <t>סביב היריד</t>
  </si>
  <si>
    <t>אנשי קשר מועדוני נוער</t>
  </si>
  <si>
    <t>קידום נוער</t>
  </si>
  <si>
    <t>עו"סית מועדון גילה</t>
  </si>
  <si>
    <t>חני</t>
  </si>
  <si>
    <t>צוריה- כללי- 052-372-0408, שלומית- חרדים-  050-782-5605</t>
  </si>
  <si>
    <t>עו"סית מועדון קרית מנחם/ רכזת מתנדבת</t>
  </si>
  <si>
    <t>נאווה איתן</t>
  </si>
  <si>
    <t>054-348-8380</t>
  </si>
  <si>
    <t>עובדת סוציאלית/רכז מתנדב</t>
  </si>
  <si>
    <t>אבי- 502603396</t>
  </si>
  <si>
    <t>עו"סית מועדון רמות</t>
  </si>
  <si>
    <t>לא פעיל כרגע</t>
  </si>
  <si>
    <t xml:space="preserve">תורמים קבועים </t>
  </si>
  <si>
    <t xml:space="preserve">עמותת בשוויץ שתורמת ליהודים </t>
  </si>
  <si>
    <t>חברת ועד מנהל</t>
  </si>
  <si>
    <t>קלאודיה[הגיעה דרך עופר זאבי]</t>
  </si>
  <si>
    <t>Phbollag@sunrise.ch קלאודיה בולג -</t>
  </si>
  <si>
    <t>מספר שוודי קידומת +41</t>
  </si>
  <si>
    <t>לפני חגים</t>
  </si>
  <si>
    <t>פרטי</t>
  </si>
  <si>
    <t>מחבר בין תורמים לעמותות</t>
  </si>
  <si>
    <t>בשוטף שימור קשר</t>
  </si>
  <si>
    <t>קרן מחיה לאחים רמות</t>
  </si>
  <si>
    <t>עמותה שתורמת לסניף רמות</t>
  </si>
  <si>
    <t>חנוך</t>
  </si>
  <si>
    <t>054-432-2087</t>
  </si>
  <si>
    <t>לפני חגים ראש השנה ופסח תורמים</t>
  </si>
  <si>
    <t>הקרן לידידות</t>
  </si>
  <si>
    <t>רכזת תרומות</t>
  </si>
  <si>
    <t>תמר פנחסי</t>
  </si>
  <si>
    <t>050-963-6000</t>
  </si>
  <si>
    <t>לפני ראש השנה ופסח</t>
  </si>
  <si>
    <t>קרן "בכך"</t>
  </si>
  <si>
    <t>מתנדב בקרן [המתנדבים בעבר כרכז קטמון בשכן טוב]</t>
  </si>
  <si>
    <t>ישי גינוסר</t>
  </si>
  <si>
    <t xml:space="preserve"> 050-686-5325</t>
  </si>
  <si>
    <t>תורמים במהלך השנה לנושא מתנדבים אפשר לבקש גם ייעודי לדבר אחר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</si>
</sst>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color theme="1"/>
      <name val="Arial"/>
      <scheme val="minor"/>
    </font>
    <font>
      <b/>
      <sz val="11"/>
      <color theme="1"/>
      <name val="Assistant"/>
    </font>
    <font>
      <sz val="11"/>
      <color theme="1"/>
      <name val="Assistant"/>
    </font>
    <font>
      <b/>
      <sz val="16"/>
      <color theme="1"/>
      <name val="Arial"/>
    </font>
    <font>
      <sz val="11"/>
      <color theme="1"/>
      <name val="Arial"/>
    </font>
    <font>
      <u/>
      <sz val="11"/>
      <color rgb="FF1155CC"/>
      <name val="Assistant"/>
    </font>
    <font>
      <b/>
      <sz val="11"/>
      <color theme="1"/>
      <name val="Arial"/>
    </font>
    <font>
      <u/>
      <sz val="13"/>
      <color rgb="FF0000FF"/>
      <name val="David"/>
    </font>
    <font>
      <u/>
      <sz val="13"/>
      <color rgb="FF0000FF"/>
      <name val="David"/>
    </font>
    <font>
      <u/>
      <sz val="12"/>
      <color rgb="FF0000FF"/>
      <name val="Times New Roman"/>
    </font>
    <font>
      <sz val="11"/>
      <color theme="1"/>
      <name val="Arial"/>
      <scheme val="minor"/>
    </font>
    <font>
      <sz val="13"/>
      <color theme="1"/>
      <name val="David"/>
    </font>
    <font>
      <u/>
      <sz val="13"/>
      <color rgb="FF0000FF"/>
      <name val="David"/>
    </font>
    <font>
      <u/>
      <sz val="12"/>
      <color rgb="FF0000FF"/>
      <name val="Times New Roman"/>
    </font>
    <font>
      <sz val="11"/>
      <color theme="1"/>
      <name val="Arial"/>
    </font>
    <font>
      <sz val="11"/>
      <color rgb="FF041039"/>
      <name val="Assistant"/>
    </font>
    <font>
      <u/>
      <sz val="11"/>
      <color rgb="FF1155CC"/>
      <name val="Assistant"/>
    </font>
    <font>
      <sz val="11"/>
      <color rgb="FF000000"/>
      <name val="Arial"/>
    </font>
    <font>
      <b/>
      <sz val="11"/>
      <color theme="1"/>
      <name val="Arial"/>
    </font>
    <font>
      <u/>
      <sz val="13"/>
      <color rgb="FF0000FF"/>
      <name val="David, sans-serif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right" wrapText="1"/>
    </xf>
    <xf numFmtId="0" fontId="2" fillId="2" borderId="0" xfId="0" applyFont="1" applyFill="1"/>
    <xf numFmtId="0" fontId="6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2" borderId="0" xfId="0" applyFont="1" applyFill="1" applyAlignment="1">
      <alignment horizontal="right" wrapText="1"/>
    </xf>
    <xf numFmtId="0" fontId="2" fillId="2" borderId="0" xfId="0" applyFont="1" applyFill="1" applyAlignment="1">
      <alignment wrapText="1"/>
    </xf>
    <xf numFmtId="0" fontId="16" fillId="2" borderId="0" xfId="0" applyFont="1" applyFill="1" applyAlignment="1">
      <alignment wrapText="1"/>
    </xf>
    <xf numFmtId="0" fontId="3" fillId="0" borderId="0" xfId="0" applyFont="1" applyAlignment="1">
      <alignment horizontal="right" wrapText="1" readingOrder="2"/>
    </xf>
    <xf numFmtId="0" fontId="17" fillId="3" borderId="0" xfId="0" applyFont="1" applyFill="1" applyAlignment="1">
      <alignment horizontal="right" wrapText="1"/>
    </xf>
    <xf numFmtId="0" fontId="18" fillId="0" borderId="0" xfId="0" applyFont="1" applyAlignment="1">
      <alignment wrapText="1"/>
    </xf>
    <xf numFmtId="0" fontId="4" fillId="0" borderId="0" xfId="0" applyFont="1" applyAlignment="1">
      <alignment horizontal="right" wrapText="1" readingOrder="2"/>
    </xf>
    <xf numFmtId="0" fontId="18" fillId="4" borderId="0" xfId="0" applyFont="1" applyFill="1" applyAlignment="1">
      <alignment horizontal="right" wrapText="1" readingOrder="2"/>
    </xf>
    <xf numFmtId="0" fontId="14" fillId="0" borderId="0" xfId="0" applyFont="1" applyAlignment="1">
      <alignment horizontal="right" wrapText="1" readingOrder="2"/>
    </xf>
    <xf numFmtId="0" fontId="18" fillId="4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0" fontId="0" fillId="0" borderId="0" xfId="0"/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 readingOrder="2"/>
    </xf>
  </cellXfs>
  <cellStyles count="1">
    <cellStyle name="Normal" xfId="0" builtinId="0"/>
  </cellStyles>
  <dxfs count="22">
    <dxf>
      <fill>
        <patternFill patternType="none"/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7">
    <tableStyle name="אנשי קשר חשובים-style" pivot="0" count="3" xr9:uid="{00000000-0011-0000-FFFF-FFFF00000000}">
      <tableStyleElement type="headerRow" dxfId="21"/>
      <tableStyleElement type="firstRowStripe" dxfId="20"/>
      <tableStyleElement type="secondRowStripe" dxfId="19"/>
    </tableStyle>
    <tableStyle name="אנשי קשר חשובים-style 2" pivot="0" count="3" xr9:uid="{00000000-0011-0000-FFFF-FFFF01000000}">
      <tableStyleElement type="headerRow" dxfId="18"/>
      <tableStyleElement type="firstRowStripe" dxfId="17"/>
      <tableStyleElement type="secondRowStripe" dxfId="16"/>
    </tableStyle>
    <tableStyle name="אנשי קשר חשובים-style 3" pivot="0" count="3" xr9:uid="{00000000-0011-0000-FFFF-FFFF02000000}">
      <tableStyleElement type="headerRow" dxfId="15"/>
      <tableStyleElement type="firstRowStripe" dxfId="14"/>
      <tableStyleElement type="secondRowStripe" dxfId="13"/>
    </tableStyle>
    <tableStyle name="אנשי קשר חשובים-style 4" pivot="0" count="3" xr9:uid="{00000000-0011-0000-FFFF-FFFF03000000}">
      <tableStyleElement type="headerRow" dxfId="12"/>
      <tableStyleElement type="firstRowStripe" dxfId="11"/>
      <tableStyleElement type="secondRowStripe" dxfId="10"/>
    </tableStyle>
    <tableStyle name="אנשי קשר חשובים-style 5" pivot="0" count="3" xr9:uid="{00000000-0011-0000-FFFF-FFFF04000000}">
      <tableStyleElement type="headerRow" dxfId="9"/>
      <tableStyleElement type="firstRowStripe" dxfId="8"/>
      <tableStyleElement type="secondRowStripe" dxfId="7"/>
    </tableStyle>
    <tableStyle name="אתרים חשובים-style" pivot="0" count="3" xr9:uid="{00000000-0011-0000-FFFF-FFFF05000000}">
      <tableStyleElement type="headerRow" dxfId="6"/>
      <tableStyleElement type="firstRowStripe" dxfId="5"/>
      <tableStyleElement type="secondRowStripe" dxfId="4"/>
    </tableStyle>
    <tableStyle name="אתרים חשובים-style 2" pivot="0" count="3" xr9:uid="{00000000-0011-0000-FFFF-FFFF06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G28">
  <tableColumns count="7">
    <tableColumn id="1" xr3:uid="{00000000-0010-0000-0000-000001000000}" name="שם חברה"/>
    <tableColumn id="2" xr3:uid="{00000000-0010-0000-0000-000002000000}" name="תפקיד"/>
    <tableColumn id="3" xr3:uid="{00000000-0010-0000-0000-000003000000}" name="שם איש קשר"/>
    <tableColumn id="4" xr3:uid="{00000000-0010-0000-0000-000004000000}" name="טלפון"/>
    <tableColumn id="5" xr3:uid="{00000000-0010-0000-0000-000005000000}" name="מייל"/>
    <tableColumn id="6" xr3:uid="{00000000-0010-0000-0000-000006000000}" name="איש קשר מטעם העמותה"/>
    <tableColumn id="7" xr3:uid="{00000000-0010-0000-0000-000007000000}" name="מתי נערך הקשר?"/>
  </tableColumns>
  <tableStyleInfo name="אנשי קשר חשובים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2:G32" headerRowCount="0">
  <tableColumns count="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</tableColumns>
  <tableStyleInfo name="אנשי קשר חשובים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6:G57">
  <tableColumns count="7">
    <tableColumn id="1" xr3:uid="{00000000-0010-0000-0200-000001000000}" name="שם חברה"/>
    <tableColumn id="2" xr3:uid="{00000000-0010-0000-0200-000002000000}" name="תפקיד"/>
    <tableColumn id="3" xr3:uid="{00000000-0010-0000-0200-000003000000}" name="שם איש קשר"/>
    <tableColumn id="4" xr3:uid="{00000000-0010-0000-0200-000004000000}" name="טלפון"/>
    <tableColumn id="5" xr3:uid="{00000000-0010-0000-0200-000005000000}" name="מייל"/>
    <tableColumn id="6" xr3:uid="{00000000-0010-0000-0200-000006000000}" name="איש קשר מטעם העמותה"/>
    <tableColumn id="7" xr3:uid="{00000000-0010-0000-0200-000007000000}" name="מתי נערך הקשר?"/>
  </tableColumns>
  <tableStyleInfo name="אנשי קשר חשובים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63:G63" headerRowCount="0">
  <tableColumns count="7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</tableColumns>
  <tableStyleInfo name="אנשי קשר חשובים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71:G76">
  <tableColumns count="7">
    <tableColumn id="1" xr3:uid="{00000000-0010-0000-0400-000001000000}" name="שם חברה"/>
    <tableColumn id="2" xr3:uid="{00000000-0010-0000-0400-000002000000}" name="תפקיד"/>
    <tableColumn id="3" xr3:uid="{00000000-0010-0000-0400-000003000000}" name="שם איש קשר"/>
    <tableColumn id="4" xr3:uid="{00000000-0010-0000-0400-000004000000}" name="טלפון"/>
    <tableColumn id="5" xr3:uid="{00000000-0010-0000-0400-000005000000}" name="מייל"/>
    <tableColumn id="6" xr3:uid="{00000000-0010-0000-0400-000006000000}" name="איש קשר מטעם העמותה"/>
    <tableColumn id="7" xr3:uid="{00000000-0010-0000-0400-000007000000}" name="מתי נערך הקשר?"/>
  </tableColumns>
  <tableStyleInfo name="אנשי קשר חשובים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raran@smile.net.il" TargetMode="External"/><Relationship Id="rId2" Type="http://schemas.openxmlformats.org/officeDocument/2006/relationships/hyperlink" Target="mailto:jfood@shachentov.org.il" TargetMode="External"/><Relationship Id="rId1" Type="http://schemas.openxmlformats.org/officeDocument/2006/relationships/hyperlink" Target="mailto:ceo@shachentov.org.i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mbs@mbs.org.il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yonatan.bendor@israelgives.org" TargetMode="External"/><Relationship Id="rId1" Type="http://schemas.openxmlformats.org/officeDocument/2006/relationships/hyperlink" Target="mailto:bsmcpa@isdm.net.il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assafh2@gmail.com" TargetMode="External"/><Relationship Id="rId10" Type="http://schemas.openxmlformats.org/officeDocument/2006/relationships/table" Target="../tables/table5.xml"/><Relationship Id="rId4" Type="http://schemas.openxmlformats.org/officeDocument/2006/relationships/hyperlink" Target="mailto:sade@sade.co.il" TargetMode="Externa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rightToLeft="1" workbookViewId="0">
      <selection activeCell="A61" sqref="A61"/>
    </sheetView>
  </sheetViews>
  <sheetFormatPr defaultColWidth="12.6640625" defaultRowHeight="15" customHeight="1" outlineLevelRow="1"/>
  <cols>
    <col min="1" max="1" width="27.75" customWidth="1"/>
    <col min="3" max="3" width="16.6640625" customWidth="1"/>
    <col min="4" max="4" width="15.9140625" customWidth="1"/>
    <col min="5" max="5" width="29.6640625" customWidth="1"/>
    <col min="6" max="6" width="22.9140625" customWidth="1"/>
    <col min="7" max="7" width="23.25" customWidth="1"/>
  </cols>
  <sheetData>
    <row r="1" spans="1:26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 collapsed="1">
      <c r="A2" s="1" t="s">
        <v>8</v>
      </c>
      <c r="B2" s="5"/>
      <c r="C2" s="5"/>
      <c r="D2" s="5"/>
      <c r="E2" s="6"/>
      <c r="F2" s="5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 hidden="1" outlineLevel="1">
      <c r="A3" s="1" t="s">
        <v>13</v>
      </c>
      <c r="B3" s="5" t="s">
        <v>14</v>
      </c>
      <c r="C3" s="5" t="s">
        <v>15</v>
      </c>
      <c r="D3" s="5" t="s">
        <v>16</v>
      </c>
      <c r="E3" s="6" t="s">
        <v>17</v>
      </c>
      <c r="F3" s="5" t="s">
        <v>27</v>
      </c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 hidden="1" outlineLevel="1">
      <c r="A4" s="1" t="s">
        <v>28</v>
      </c>
      <c r="B4" s="5" t="s">
        <v>14</v>
      </c>
      <c r="C4" s="5" t="s">
        <v>30</v>
      </c>
      <c r="D4" s="7"/>
      <c r="E4" s="5" t="s">
        <v>32</v>
      </c>
      <c r="F4" s="5" t="s">
        <v>27</v>
      </c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hidden="1" outlineLevel="1">
      <c r="A5" s="1" t="s">
        <v>34</v>
      </c>
      <c r="B5" s="5" t="s">
        <v>14</v>
      </c>
      <c r="C5" s="5" t="s">
        <v>37</v>
      </c>
      <c r="D5" s="5" t="s">
        <v>38</v>
      </c>
      <c r="E5" s="5" t="s">
        <v>39</v>
      </c>
      <c r="F5" s="5" t="s">
        <v>27</v>
      </c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hidden="1" outlineLevel="1">
      <c r="A6" s="1" t="s">
        <v>43</v>
      </c>
      <c r="B6" s="5" t="s">
        <v>14</v>
      </c>
      <c r="C6" s="5" t="s">
        <v>45</v>
      </c>
      <c r="D6" s="5" t="s">
        <v>46</v>
      </c>
      <c r="E6" s="6" t="s">
        <v>47</v>
      </c>
      <c r="F6" s="5" t="s">
        <v>27</v>
      </c>
      <c r="G6" s="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hidden="1" outlineLevel="1">
      <c r="A7" s="1" t="s">
        <v>53</v>
      </c>
      <c r="B7" s="5" t="s">
        <v>14</v>
      </c>
      <c r="C7" s="5" t="s">
        <v>54</v>
      </c>
      <c r="D7" s="5" t="s">
        <v>54</v>
      </c>
      <c r="E7" s="5" t="s">
        <v>55</v>
      </c>
      <c r="F7" s="5" t="s">
        <v>56</v>
      </c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hidden="1" outlineLevel="1">
      <c r="A8" s="1" t="s">
        <v>57</v>
      </c>
      <c r="B8" s="5" t="s">
        <v>58</v>
      </c>
      <c r="C8" s="5" t="s">
        <v>59</v>
      </c>
      <c r="D8" s="5" t="s">
        <v>60</v>
      </c>
      <c r="E8" s="5" t="s">
        <v>62</v>
      </c>
      <c r="F8" s="5" t="s">
        <v>27</v>
      </c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hidden="1" outlineLevel="1">
      <c r="A9" s="1" t="s">
        <v>68</v>
      </c>
      <c r="B9" s="5" t="s">
        <v>58</v>
      </c>
      <c r="C9" s="5" t="s">
        <v>69</v>
      </c>
      <c r="D9" s="5" t="s">
        <v>70</v>
      </c>
      <c r="E9" s="5" t="s">
        <v>71</v>
      </c>
      <c r="F9" s="5" t="s">
        <v>27</v>
      </c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hidden="1" outlineLevel="1">
      <c r="A10" s="1" t="s">
        <v>77</v>
      </c>
      <c r="B10" s="5" t="s">
        <v>14</v>
      </c>
      <c r="C10" s="5" t="s">
        <v>78</v>
      </c>
      <c r="D10" s="7"/>
      <c r="E10" s="5" t="s">
        <v>79</v>
      </c>
      <c r="F10" s="5" t="s">
        <v>56</v>
      </c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collapsed="1">
      <c r="A11" s="1" t="s">
        <v>83</v>
      </c>
      <c r="B11" s="7"/>
      <c r="C11" s="7"/>
      <c r="D11" s="7"/>
      <c r="E11" s="7"/>
      <c r="F11" s="7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hidden="1" outlineLevel="1">
      <c r="A12" s="1" t="s">
        <v>87</v>
      </c>
      <c r="B12" s="7"/>
      <c r="C12" s="5" t="s">
        <v>88</v>
      </c>
      <c r="D12" s="7"/>
      <c r="E12" s="5" t="s">
        <v>89</v>
      </c>
      <c r="F12" s="5" t="s">
        <v>27</v>
      </c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hidden="1" outlineLevel="1">
      <c r="A13" s="1" t="s">
        <v>94</v>
      </c>
      <c r="B13" s="7"/>
      <c r="C13" s="5" t="s">
        <v>95</v>
      </c>
      <c r="D13" s="7"/>
      <c r="E13" s="7"/>
      <c r="F13" s="5" t="s">
        <v>27</v>
      </c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hidden="1" outlineLevel="1">
      <c r="A14" s="1" t="s">
        <v>97</v>
      </c>
      <c r="B14" s="5" t="s">
        <v>14</v>
      </c>
      <c r="C14" s="5" t="s">
        <v>98</v>
      </c>
      <c r="D14" s="5" t="s">
        <v>99</v>
      </c>
      <c r="E14" s="5" t="s">
        <v>100</v>
      </c>
      <c r="F14" s="5" t="s">
        <v>27</v>
      </c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 hidden="1" outlineLevel="1">
      <c r="A15" s="1" t="s">
        <v>104</v>
      </c>
      <c r="B15" s="5" t="s">
        <v>58</v>
      </c>
      <c r="C15" s="5" t="s">
        <v>105</v>
      </c>
      <c r="D15" s="7"/>
      <c r="E15" s="5" t="s">
        <v>106</v>
      </c>
      <c r="F15" s="5" t="s">
        <v>27</v>
      </c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hidden="1" outlineLevel="1">
      <c r="A16" s="1" t="s">
        <v>110</v>
      </c>
      <c r="B16" s="5" t="s">
        <v>14</v>
      </c>
      <c r="C16" s="5" t="s">
        <v>78</v>
      </c>
      <c r="D16" s="7"/>
      <c r="E16" s="5" t="s">
        <v>55</v>
      </c>
      <c r="F16" s="5" t="s">
        <v>114</v>
      </c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 collapsed="1">
      <c r="A17" s="1" t="s">
        <v>115</v>
      </c>
      <c r="B17" s="7"/>
      <c r="C17" s="7"/>
      <c r="D17" s="7"/>
      <c r="E17" s="7"/>
      <c r="F17" s="7"/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 hidden="1" outlineLevel="1">
      <c r="A18" s="28" t="s">
        <v>119</v>
      </c>
      <c r="B18" s="30" t="s">
        <v>120</v>
      </c>
      <c r="C18" s="18" t="s">
        <v>121</v>
      </c>
      <c r="D18" s="5" t="s">
        <v>122</v>
      </c>
      <c r="E18" s="7"/>
      <c r="F18" s="5" t="s">
        <v>27</v>
      </c>
      <c r="G18" s="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 hidden="1" outlineLevel="1">
      <c r="A19" s="29"/>
      <c r="B19" s="29"/>
      <c r="C19" s="5" t="s">
        <v>127</v>
      </c>
      <c r="D19" s="5" t="s">
        <v>128</v>
      </c>
      <c r="E19" s="7"/>
      <c r="F19" s="5" t="s">
        <v>27</v>
      </c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9" hidden="1" outlineLevel="1">
      <c r="A20" s="1" t="s">
        <v>132</v>
      </c>
      <c r="B20" s="5" t="s">
        <v>133</v>
      </c>
      <c r="C20" s="5" t="s">
        <v>134</v>
      </c>
      <c r="D20" s="5" t="s">
        <v>135</v>
      </c>
      <c r="E20" s="7"/>
      <c r="F20" s="5" t="s">
        <v>137</v>
      </c>
      <c r="G20" s="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5" hidden="1" outlineLevel="1">
      <c r="A21" s="1" t="s">
        <v>139</v>
      </c>
      <c r="B21" s="5" t="s">
        <v>140</v>
      </c>
      <c r="C21" s="5" t="s">
        <v>141</v>
      </c>
      <c r="D21" s="7"/>
      <c r="E21" s="7"/>
      <c r="F21" s="5" t="s">
        <v>27</v>
      </c>
      <c r="G21" s="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5" hidden="1" outlineLevel="1">
      <c r="A22" s="1" t="s">
        <v>146</v>
      </c>
      <c r="B22" s="5" t="s">
        <v>147</v>
      </c>
      <c r="C22" s="5" t="s">
        <v>148</v>
      </c>
      <c r="D22" s="19" t="s">
        <v>149</v>
      </c>
      <c r="E22" s="20" t="s">
        <v>152</v>
      </c>
      <c r="F22" s="5" t="s">
        <v>27</v>
      </c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5" hidden="1" outlineLevel="1">
      <c r="A23" s="1" t="s">
        <v>156</v>
      </c>
      <c r="B23" s="5" t="s">
        <v>158</v>
      </c>
      <c r="C23" s="5" t="s">
        <v>160</v>
      </c>
      <c r="D23" s="7"/>
      <c r="E23" s="7"/>
      <c r="F23" s="5" t="s">
        <v>27</v>
      </c>
      <c r="G23" s="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5" hidden="1" outlineLevel="1">
      <c r="A24" s="1" t="s">
        <v>163</v>
      </c>
      <c r="B24" s="5" t="s">
        <v>166</v>
      </c>
      <c r="C24" s="5" t="s">
        <v>167</v>
      </c>
      <c r="D24" s="7"/>
      <c r="E24" s="7"/>
      <c r="F24" s="5" t="s">
        <v>169</v>
      </c>
      <c r="G24" s="7" t="s">
        <v>170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5" hidden="1" outlineLevel="1">
      <c r="A25" s="1" t="s">
        <v>173</v>
      </c>
      <c r="B25" s="5" t="s">
        <v>174</v>
      </c>
      <c r="C25" s="5" t="s">
        <v>175</v>
      </c>
      <c r="D25" s="7" t="s">
        <v>176</v>
      </c>
      <c r="E25" s="7"/>
      <c r="F25" s="5" t="s">
        <v>27</v>
      </c>
      <c r="G25" s="5" t="s">
        <v>177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5" collapsed="1">
      <c r="A26" s="1" t="s">
        <v>181</v>
      </c>
      <c r="B26" s="7"/>
      <c r="C26" s="7"/>
      <c r="D26" s="7"/>
      <c r="E26" s="7"/>
      <c r="F26" s="7"/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5" hidden="1" outlineLevel="1">
      <c r="A27" s="28" t="s">
        <v>186</v>
      </c>
      <c r="B27" s="31" t="s">
        <v>14</v>
      </c>
      <c r="C27" s="5" t="s">
        <v>187</v>
      </c>
      <c r="D27" s="7"/>
      <c r="E27" s="7"/>
      <c r="F27" s="5" t="s">
        <v>27</v>
      </c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5" hidden="1" outlineLevel="1">
      <c r="A28" s="29"/>
      <c r="B28" s="29"/>
      <c r="C28" s="5" t="s">
        <v>78</v>
      </c>
      <c r="D28" s="7"/>
      <c r="E28" s="7"/>
      <c r="F28" s="5" t="s">
        <v>56</v>
      </c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5" hidden="1" outlineLevel="1">
      <c r="A29" s="28" t="s">
        <v>191</v>
      </c>
      <c r="B29" s="29"/>
      <c r="C29" s="5" t="s">
        <v>192</v>
      </c>
      <c r="D29" s="7"/>
      <c r="E29" s="7"/>
      <c r="F29" s="5" t="s">
        <v>27</v>
      </c>
      <c r="G29" s="5" t="s">
        <v>193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5" hidden="1" outlineLevel="1">
      <c r="A30" s="29"/>
      <c r="B30" s="29"/>
      <c r="C30" s="5" t="s">
        <v>194</v>
      </c>
      <c r="D30" s="7"/>
      <c r="E30" s="7"/>
      <c r="F30" s="5" t="s">
        <v>195</v>
      </c>
      <c r="G30" s="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5" hidden="1" outlineLevel="1">
      <c r="A31" s="29"/>
      <c r="B31" s="29"/>
      <c r="C31" s="5" t="s">
        <v>78</v>
      </c>
      <c r="D31" s="7"/>
      <c r="E31" s="7"/>
      <c r="F31" s="5" t="s">
        <v>27</v>
      </c>
      <c r="G31" s="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5" hidden="1" outlineLevel="1">
      <c r="A32" s="28" t="s">
        <v>196</v>
      </c>
      <c r="B32" s="29"/>
      <c r="C32" s="5" t="s">
        <v>197</v>
      </c>
      <c r="D32" s="5"/>
      <c r="E32" s="7"/>
      <c r="F32" s="5" t="s">
        <v>27</v>
      </c>
      <c r="G32" s="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5" hidden="1" outlineLevel="1">
      <c r="A33" s="29"/>
      <c r="B33" s="29"/>
      <c r="C33" s="5" t="s">
        <v>199</v>
      </c>
      <c r="D33" s="7"/>
      <c r="E33" s="7"/>
      <c r="F33" s="5" t="s">
        <v>27</v>
      </c>
      <c r="G33" s="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5" hidden="1" outlineLevel="1">
      <c r="A34" s="28" t="s">
        <v>200</v>
      </c>
      <c r="B34" s="29"/>
      <c r="C34" s="5" t="s">
        <v>201</v>
      </c>
      <c r="D34" s="5" t="s">
        <v>202</v>
      </c>
      <c r="E34" s="7"/>
      <c r="F34" s="5" t="s">
        <v>27</v>
      </c>
      <c r="G34" s="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5" hidden="1" outlineLevel="1">
      <c r="A35" s="29"/>
      <c r="B35" s="29"/>
      <c r="C35" s="5" t="s">
        <v>208</v>
      </c>
      <c r="D35" s="5" t="s">
        <v>209</v>
      </c>
      <c r="E35" s="7"/>
      <c r="F35" s="5" t="s">
        <v>27</v>
      </c>
      <c r="G35" s="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5" hidden="1" outlineLevel="1">
      <c r="A36" s="29"/>
      <c r="B36" s="29"/>
      <c r="C36" s="5" t="s">
        <v>78</v>
      </c>
      <c r="D36" s="7"/>
      <c r="E36" s="7"/>
      <c r="F36" s="5" t="s">
        <v>56</v>
      </c>
      <c r="G36" s="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5" hidden="1" outlineLevel="1">
      <c r="A37" s="28" t="s">
        <v>216</v>
      </c>
      <c r="B37" s="29"/>
      <c r="C37" s="5" t="s">
        <v>217</v>
      </c>
      <c r="D37" s="7"/>
      <c r="E37" s="7"/>
      <c r="F37" s="5" t="s">
        <v>27</v>
      </c>
      <c r="G37" s="5" t="s">
        <v>218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5" hidden="1" outlineLevel="1">
      <c r="A38" s="29"/>
      <c r="B38" s="29"/>
      <c r="C38" s="5" t="s">
        <v>219</v>
      </c>
      <c r="D38" s="7"/>
      <c r="E38" s="7"/>
      <c r="F38" s="5" t="s">
        <v>27</v>
      </c>
      <c r="G38" s="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5" hidden="1" outlineLevel="1">
      <c r="A39" s="29"/>
      <c r="B39" s="29"/>
      <c r="C39" s="5" t="s">
        <v>223</v>
      </c>
      <c r="D39" s="7"/>
      <c r="E39" s="7"/>
      <c r="F39" s="5" t="s">
        <v>27</v>
      </c>
      <c r="G39" s="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5" hidden="1" outlineLevel="1">
      <c r="A40" s="29"/>
      <c r="B40" s="29"/>
      <c r="C40" s="5" t="s">
        <v>226</v>
      </c>
      <c r="D40" s="7"/>
      <c r="E40" s="7"/>
      <c r="F40" s="5" t="s">
        <v>27</v>
      </c>
      <c r="G40" s="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5" hidden="1" outlineLevel="1">
      <c r="A41" s="28" t="s">
        <v>230</v>
      </c>
      <c r="B41" s="29"/>
      <c r="C41" s="5" t="s">
        <v>231</v>
      </c>
      <c r="D41" s="5" t="s">
        <v>232</v>
      </c>
      <c r="E41" s="7"/>
      <c r="F41" s="5" t="s">
        <v>27</v>
      </c>
      <c r="G41" s="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5" hidden="1" outlineLevel="1">
      <c r="A42" s="29"/>
      <c r="B42" s="29"/>
      <c r="C42" s="5" t="s">
        <v>233</v>
      </c>
      <c r="D42" s="5" t="s">
        <v>234</v>
      </c>
      <c r="E42" s="7"/>
      <c r="F42" s="5" t="s">
        <v>27</v>
      </c>
      <c r="G42" s="7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5" hidden="1" outlineLevel="1">
      <c r="A43" s="29"/>
      <c r="B43" s="29"/>
      <c r="C43" s="5" t="s">
        <v>237</v>
      </c>
      <c r="D43" s="5" t="s">
        <v>238</v>
      </c>
      <c r="E43" s="7"/>
      <c r="F43" s="5" t="s">
        <v>27</v>
      </c>
      <c r="G43" s="7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5" hidden="1" outlineLevel="1">
      <c r="A44" s="29"/>
      <c r="B44" s="29"/>
      <c r="C44" s="5" t="s">
        <v>241</v>
      </c>
      <c r="D44" s="5" t="s">
        <v>242</v>
      </c>
      <c r="E44" s="7"/>
      <c r="F44" s="5" t="s">
        <v>114</v>
      </c>
      <c r="G44" s="5" t="s">
        <v>243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5" hidden="1" outlineLevel="1">
      <c r="A45" s="28" t="s">
        <v>245</v>
      </c>
      <c r="B45" s="29"/>
      <c r="C45" s="5" t="s">
        <v>247</v>
      </c>
      <c r="D45" s="5" t="s">
        <v>248</v>
      </c>
      <c r="E45" s="7"/>
      <c r="F45" s="5" t="s">
        <v>27</v>
      </c>
      <c r="G45" s="7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5" hidden="1" outlineLevel="1">
      <c r="A46" s="29"/>
      <c r="B46" s="29"/>
      <c r="C46" s="5" t="s">
        <v>250</v>
      </c>
      <c r="D46" s="7"/>
      <c r="E46" s="7"/>
      <c r="F46" s="5" t="s">
        <v>27</v>
      </c>
      <c r="G46" s="7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5" collapsed="1">
      <c r="A47" s="1" t="s">
        <v>252</v>
      </c>
      <c r="B47" s="7"/>
      <c r="C47" s="7"/>
      <c r="D47" s="7"/>
      <c r="E47" s="7"/>
      <c r="F47" s="7"/>
      <c r="G47" s="7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5" hidden="1" outlineLevel="1">
      <c r="A48" s="1" t="s">
        <v>254</v>
      </c>
      <c r="B48" s="5" t="s">
        <v>14</v>
      </c>
      <c r="C48" s="5" t="s">
        <v>255</v>
      </c>
      <c r="D48" s="7" t="s">
        <v>256</v>
      </c>
      <c r="E48" s="7"/>
      <c r="F48" s="5" t="s">
        <v>114</v>
      </c>
      <c r="G48" s="7" t="s">
        <v>257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9" hidden="1" outlineLevel="1">
      <c r="A49" s="1" t="s">
        <v>259</v>
      </c>
      <c r="B49" s="5" t="s">
        <v>14</v>
      </c>
      <c r="C49" s="5" t="s">
        <v>260</v>
      </c>
      <c r="D49" s="7" t="s">
        <v>261</v>
      </c>
      <c r="E49" s="7"/>
      <c r="F49" s="5" t="s">
        <v>27</v>
      </c>
      <c r="G49" s="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5" hidden="1" outlineLevel="1">
      <c r="A50" s="1" t="s">
        <v>263</v>
      </c>
      <c r="B50" s="5" t="s">
        <v>264</v>
      </c>
      <c r="C50" s="5" t="s">
        <v>265</v>
      </c>
      <c r="D50" s="7" t="s">
        <v>266</v>
      </c>
      <c r="E50" s="7"/>
      <c r="F50" s="5" t="s">
        <v>27</v>
      </c>
      <c r="G50" s="7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5" collapsed="1">
      <c r="A51" s="1" t="s">
        <v>268</v>
      </c>
      <c r="B51" s="7"/>
      <c r="C51" s="7"/>
      <c r="D51" s="7"/>
      <c r="E51" s="7"/>
      <c r="F51" s="7"/>
      <c r="G51" s="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5" hidden="1" outlineLevel="1">
      <c r="A52" s="1" t="s">
        <v>269</v>
      </c>
      <c r="B52" s="5" t="s">
        <v>14</v>
      </c>
      <c r="C52" s="7"/>
      <c r="D52" s="7"/>
      <c r="E52" s="7"/>
      <c r="F52" s="5" t="s">
        <v>114</v>
      </c>
      <c r="G52" s="5" t="s">
        <v>270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5" hidden="1" outlineLevel="1">
      <c r="A53" s="1" t="s">
        <v>271</v>
      </c>
      <c r="B53" s="5" t="s">
        <v>14</v>
      </c>
      <c r="C53" s="5" t="s">
        <v>272</v>
      </c>
      <c r="D53" s="5" t="s">
        <v>273</v>
      </c>
      <c r="E53" s="7"/>
      <c r="F53" s="5" t="s">
        <v>114</v>
      </c>
      <c r="G53" s="5" t="s">
        <v>270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5" hidden="1" outlineLevel="1">
      <c r="A54" s="1" t="s">
        <v>274</v>
      </c>
      <c r="B54" s="5" t="s">
        <v>14</v>
      </c>
      <c r="C54" s="7"/>
      <c r="D54" s="7"/>
      <c r="E54" s="7"/>
      <c r="F54" s="5" t="s">
        <v>114</v>
      </c>
      <c r="G54" s="5" t="s">
        <v>270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5" hidden="1" outlineLevel="1">
      <c r="A55" s="1" t="s">
        <v>275</v>
      </c>
      <c r="B55" s="5" t="s">
        <v>14</v>
      </c>
      <c r="C55" s="7"/>
      <c r="D55" s="7"/>
      <c r="E55" s="7"/>
      <c r="F55" s="5" t="s">
        <v>114</v>
      </c>
      <c r="G55" s="5" t="s">
        <v>270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5" collapsed="1">
      <c r="A56" s="1" t="s">
        <v>276</v>
      </c>
      <c r="B56" s="7"/>
      <c r="C56" s="7"/>
      <c r="D56" s="7"/>
      <c r="E56" s="7"/>
      <c r="F56" s="7"/>
      <c r="G56" s="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5" hidden="1" outlineLevel="1">
      <c r="A57" s="28" t="s">
        <v>277</v>
      </c>
      <c r="B57" s="30" t="s">
        <v>278</v>
      </c>
      <c r="C57" s="5" t="s">
        <v>279</v>
      </c>
      <c r="D57" s="5">
        <v>528041298</v>
      </c>
      <c r="E57" s="7"/>
      <c r="F57" s="5" t="s">
        <v>27</v>
      </c>
      <c r="G57" s="5" t="s">
        <v>280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5" hidden="1" outlineLevel="1">
      <c r="A58" s="29"/>
      <c r="B58" s="29"/>
      <c r="C58" s="5" t="s">
        <v>282</v>
      </c>
      <c r="D58" s="5">
        <v>526860000</v>
      </c>
      <c r="E58" s="7"/>
      <c r="F58" s="5" t="s">
        <v>27</v>
      </c>
      <c r="G58" s="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5" hidden="1" outlineLevel="1">
      <c r="A59" s="28" t="s">
        <v>283</v>
      </c>
      <c r="B59" s="30" t="s">
        <v>14</v>
      </c>
      <c r="C59" s="5" t="s">
        <v>284</v>
      </c>
      <c r="D59" s="5">
        <v>536221290</v>
      </c>
      <c r="E59" s="7"/>
      <c r="F59" s="5" t="s">
        <v>27</v>
      </c>
      <c r="G59" s="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5" hidden="1" outlineLevel="1">
      <c r="A60" s="29"/>
      <c r="B60" s="29"/>
      <c r="C60" s="5" t="s">
        <v>287</v>
      </c>
      <c r="D60" s="5">
        <v>586564828</v>
      </c>
      <c r="E60" s="7"/>
      <c r="F60" s="5" t="s">
        <v>27</v>
      </c>
      <c r="G60" s="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5">
      <c r="A61" s="1"/>
      <c r="B61" s="7"/>
      <c r="C61" s="7"/>
      <c r="D61" s="7"/>
      <c r="E61" s="7"/>
      <c r="F61" s="7"/>
      <c r="G61" s="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14">
    <mergeCell ref="A34:A36"/>
    <mergeCell ref="A45:A46"/>
    <mergeCell ref="B27:B46"/>
    <mergeCell ref="A18:A19"/>
    <mergeCell ref="B18:B19"/>
    <mergeCell ref="A27:A28"/>
    <mergeCell ref="A29:A31"/>
    <mergeCell ref="A32:A33"/>
    <mergeCell ref="A37:A40"/>
    <mergeCell ref="A41:A44"/>
    <mergeCell ref="A57:A58"/>
    <mergeCell ref="B57:B58"/>
    <mergeCell ref="A59:A60"/>
    <mergeCell ref="B59:B60"/>
  </mergeCells>
  <dataValidations count="1">
    <dataValidation type="list" allowBlank="1" showErrorMessage="1" sqref="F3:F10 F12:F16 F18:F25 F27:F46 F48:F50 F52:F55 F57:F60" xr:uid="{00000000-0002-0000-0000-000000000000}">
      <formula1>"יציב,בינוני - חוסר,דחוף ,דחוף מאוד- לקראת עזיבה/חוסר קריטי,בחפיפה- ניסיון,אחר"</formula1>
    </dataValidation>
  </dataValidations>
  <hyperlinks>
    <hyperlink ref="E3" r:id="rId1" xr:uid="{00000000-0004-0000-0000-000000000000}"/>
    <hyperlink ref="E6" r:id="rId2" xr:uid="{00000000-0004-0000-0000-000001000000}"/>
    <hyperlink ref="E22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42"/>
  <sheetViews>
    <sheetView rightToLeft="1" tabSelected="1" topLeftCell="A66" workbookViewId="0">
      <selection activeCell="E67" sqref="E67"/>
    </sheetView>
  </sheetViews>
  <sheetFormatPr defaultColWidth="12.6640625" defaultRowHeight="15" customHeight="1"/>
  <cols>
    <col min="1" max="1" width="21.25" customWidth="1"/>
    <col min="5" max="5" width="28.1640625" customWidth="1"/>
  </cols>
  <sheetData>
    <row r="1" spans="1:27" ht="15" customHeight="1">
      <c r="A1" s="3"/>
      <c r="B1" s="32" t="s">
        <v>7</v>
      </c>
      <c r="C1" s="29"/>
      <c r="D1" s="29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>
      <c r="A2" s="8" t="s">
        <v>9</v>
      </c>
      <c r="B2" s="8" t="s">
        <v>0</v>
      </c>
      <c r="C2" s="8" t="s">
        <v>10</v>
      </c>
      <c r="D2" s="8" t="s">
        <v>3</v>
      </c>
      <c r="E2" s="8" t="s">
        <v>4</v>
      </c>
      <c r="F2" s="8" t="s">
        <v>11</v>
      </c>
      <c r="G2" s="8" t="s">
        <v>12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" customHeight="1">
      <c r="A3" s="4" t="s">
        <v>18</v>
      </c>
      <c r="B3" s="4" t="s">
        <v>19</v>
      </c>
      <c r="C3" s="4" t="s">
        <v>20</v>
      </c>
      <c r="D3" s="4" t="s">
        <v>21</v>
      </c>
      <c r="E3" s="9" t="s">
        <v>22</v>
      </c>
      <c r="F3" s="4" t="s">
        <v>23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4" t="s">
        <v>24</v>
      </c>
      <c r="B4" s="4" t="s">
        <v>25</v>
      </c>
      <c r="C4" s="4" t="s">
        <v>26</v>
      </c>
      <c r="D4" s="4">
        <f>97225634643</f>
        <v>97225634643</v>
      </c>
      <c r="E4" s="10" t="s">
        <v>29</v>
      </c>
      <c r="F4" s="4" t="s">
        <v>31</v>
      </c>
      <c r="G4" s="4" t="s">
        <v>33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" customHeight="1">
      <c r="A5" s="4"/>
      <c r="B5" s="4" t="s">
        <v>35</v>
      </c>
      <c r="C5" s="4" t="s">
        <v>36</v>
      </c>
      <c r="D5" s="4"/>
      <c r="E5" s="11"/>
      <c r="F5" s="12" t="s">
        <v>31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" customHeight="1">
      <c r="A6" s="4" t="s">
        <v>40</v>
      </c>
      <c r="B6" s="4" t="s">
        <v>41</v>
      </c>
      <c r="C6" s="4" t="s">
        <v>42</v>
      </c>
      <c r="D6" s="4"/>
      <c r="E6" s="11"/>
      <c r="F6" s="4" t="s">
        <v>44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" customHeight="1">
      <c r="A7" s="4" t="s">
        <v>48</v>
      </c>
      <c r="B7" s="4" t="s">
        <v>49</v>
      </c>
      <c r="C7" s="4" t="s">
        <v>50</v>
      </c>
      <c r="D7" s="13" t="s">
        <v>51</v>
      </c>
      <c r="E7" s="14" t="s">
        <v>52</v>
      </c>
      <c r="F7" s="4" t="s">
        <v>44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" customHeight="1">
      <c r="A8" s="4" t="s">
        <v>61</v>
      </c>
      <c r="B8" s="4" t="s">
        <v>63</v>
      </c>
      <c r="C8" s="4" t="s">
        <v>64</v>
      </c>
      <c r="D8" s="15" t="s">
        <v>65</v>
      </c>
      <c r="E8" s="16" t="s">
        <v>66</v>
      </c>
      <c r="F8" s="4" t="s">
        <v>67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" customHeight="1">
      <c r="A9" s="4" t="s">
        <v>72</v>
      </c>
      <c r="B9" s="4" t="s">
        <v>73</v>
      </c>
      <c r="C9" s="4" t="s">
        <v>74</v>
      </c>
      <c r="D9" s="13" t="s">
        <v>75</v>
      </c>
      <c r="E9" s="16" t="s">
        <v>76</v>
      </c>
      <c r="F9" s="4" t="s">
        <v>44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" customHeight="1">
      <c r="A10" s="4" t="s">
        <v>80</v>
      </c>
      <c r="B10" s="4" t="s">
        <v>81</v>
      </c>
      <c r="C10" s="4" t="s">
        <v>82</v>
      </c>
      <c r="D10" s="15" t="s">
        <v>84</v>
      </c>
      <c r="E10" s="16" t="s">
        <v>85</v>
      </c>
      <c r="F10" s="4" t="s">
        <v>86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" customHeight="1">
      <c r="A11" s="4" t="s">
        <v>90</v>
      </c>
      <c r="B11" s="4" t="s">
        <v>91</v>
      </c>
      <c r="C11" s="4" t="s">
        <v>92</v>
      </c>
      <c r="D11" s="13" t="s">
        <v>93</v>
      </c>
      <c r="E11" s="11"/>
      <c r="F11" s="4" t="s">
        <v>92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4" t="s">
        <v>96</v>
      </c>
      <c r="B12" s="4"/>
      <c r="C12" s="4"/>
      <c r="D12" s="15"/>
      <c r="E12" s="1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4" t="s">
        <v>101</v>
      </c>
      <c r="B13" s="4" t="s">
        <v>102</v>
      </c>
      <c r="C13" s="4" t="s">
        <v>103</v>
      </c>
      <c r="D13" s="4">
        <v>546514222</v>
      </c>
      <c r="E13" s="1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4" t="s">
        <v>107</v>
      </c>
      <c r="B14" s="4" t="s">
        <v>108</v>
      </c>
      <c r="C14" s="4" t="s">
        <v>109</v>
      </c>
      <c r="D14" s="4">
        <v>505156776</v>
      </c>
      <c r="E14" s="1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17" t="s">
        <v>111</v>
      </c>
      <c r="B15" s="17" t="s">
        <v>112</v>
      </c>
      <c r="C15" s="17" t="s">
        <v>113</v>
      </c>
      <c r="D15" s="17">
        <v>543389740</v>
      </c>
      <c r="E15" s="1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17" t="s">
        <v>116</v>
      </c>
      <c r="B16" s="17" t="s">
        <v>112</v>
      </c>
      <c r="C16" s="17" t="s">
        <v>117</v>
      </c>
      <c r="D16" s="17" t="s">
        <v>118</v>
      </c>
      <c r="E16" s="1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" customHeight="1">
      <c r="A17" s="17" t="s">
        <v>123</v>
      </c>
      <c r="B17" s="17" t="s">
        <v>124</v>
      </c>
      <c r="C17" s="17" t="s">
        <v>125</v>
      </c>
      <c r="D17" s="17" t="s">
        <v>126</v>
      </c>
      <c r="E17" s="1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" customHeight="1">
      <c r="A18" s="17" t="s">
        <v>129</v>
      </c>
      <c r="B18" s="17" t="s">
        <v>130</v>
      </c>
      <c r="C18" s="17" t="s">
        <v>131</v>
      </c>
      <c r="D18" s="17">
        <v>545987675</v>
      </c>
      <c r="E18" s="1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.5">
      <c r="A19" s="17" t="s">
        <v>136</v>
      </c>
      <c r="B19" s="17" t="s">
        <v>130</v>
      </c>
      <c r="C19" s="17" t="s">
        <v>138</v>
      </c>
      <c r="D19" s="17">
        <v>523479259</v>
      </c>
      <c r="E19" s="1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42.5">
      <c r="A20" s="17" t="s">
        <v>142</v>
      </c>
      <c r="B20" s="17" t="s">
        <v>143</v>
      </c>
      <c r="C20" s="17" t="s">
        <v>144</v>
      </c>
      <c r="D20" s="17">
        <v>537361080</v>
      </c>
      <c r="E20" s="11"/>
      <c r="F20" s="4"/>
      <c r="G20" s="4" t="s">
        <v>145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56.5">
      <c r="A21" s="17" t="s">
        <v>150</v>
      </c>
      <c r="B21" s="17" t="s">
        <v>151</v>
      </c>
      <c r="C21" s="17" t="s">
        <v>153</v>
      </c>
      <c r="D21" s="17">
        <v>543070507</v>
      </c>
      <c r="E21" s="11"/>
      <c r="F21" s="4" t="s">
        <v>154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42.5">
      <c r="A22" s="17" t="s">
        <v>155</v>
      </c>
      <c r="B22" s="17" t="s">
        <v>157</v>
      </c>
      <c r="C22" s="17" t="s">
        <v>159</v>
      </c>
      <c r="D22" s="17">
        <v>547845677</v>
      </c>
      <c r="E22" s="11"/>
      <c r="F22" s="4" t="s">
        <v>161</v>
      </c>
      <c r="G22" s="4" t="s">
        <v>162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42.5">
      <c r="A23" s="17" t="s">
        <v>164</v>
      </c>
      <c r="B23" s="17" t="s">
        <v>165</v>
      </c>
      <c r="C23" s="17"/>
      <c r="D23" s="17">
        <v>556881843</v>
      </c>
      <c r="E23" s="11"/>
      <c r="F23" s="4"/>
      <c r="G23" s="4" t="s">
        <v>168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8.5">
      <c r="A24" s="17" t="s">
        <v>171</v>
      </c>
      <c r="B24" s="17" t="s">
        <v>172</v>
      </c>
      <c r="C24" s="17" t="s">
        <v>125</v>
      </c>
      <c r="D24" s="17">
        <v>26709700</v>
      </c>
      <c r="E24" s="1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42.5">
      <c r="A25" s="17" t="s">
        <v>178</v>
      </c>
      <c r="B25" s="17" t="s">
        <v>179</v>
      </c>
      <c r="C25" s="17" t="s">
        <v>180</v>
      </c>
      <c r="D25" s="17">
        <v>504515451</v>
      </c>
      <c r="E25" s="11"/>
      <c r="F25" s="4" t="s">
        <v>182</v>
      </c>
      <c r="G25" s="4" t="s">
        <v>183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.5">
      <c r="A26" s="17" t="s">
        <v>184</v>
      </c>
      <c r="B26" s="17" t="s">
        <v>112</v>
      </c>
      <c r="C26" s="17" t="s">
        <v>185</v>
      </c>
      <c r="D26" s="17">
        <v>547430892</v>
      </c>
      <c r="E26" s="1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.5">
      <c r="A27" s="17" t="s">
        <v>188</v>
      </c>
      <c r="B27" s="17" t="s">
        <v>189</v>
      </c>
      <c r="C27" s="17" t="s">
        <v>190</v>
      </c>
      <c r="D27" s="17">
        <v>503138132</v>
      </c>
      <c r="E27" s="1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.5">
      <c r="A28" s="17"/>
      <c r="B28" s="17"/>
      <c r="C28" s="17"/>
      <c r="D28" s="17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4">
      <c r="A29" s="17"/>
      <c r="B29" s="17"/>
      <c r="C29" s="17"/>
      <c r="D29" s="1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4">
      <c r="A30" s="17"/>
      <c r="B30" s="17"/>
      <c r="C30" s="17"/>
      <c r="D30" s="1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0">
      <c r="A31" s="21"/>
      <c r="B31" s="33" t="s">
        <v>198</v>
      </c>
      <c r="C31" s="29"/>
      <c r="D31" s="29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8">
      <c r="A32" s="8" t="s">
        <v>9</v>
      </c>
      <c r="B32" s="8" t="s">
        <v>0</v>
      </c>
      <c r="C32" s="8" t="s">
        <v>10</v>
      </c>
      <c r="D32" s="8" t="s">
        <v>3</v>
      </c>
      <c r="E32" s="8" t="s">
        <v>4</v>
      </c>
      <c r="F32" s="8" t="s">
        <v>11</v>
      </c>
      <c r="G32" s="8" t="s">
        <v>12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8">
      <c r="A33" s="17" t="s">
        <v>203</v>
      </c>
      <c r="B33" s="17" t="s">
        <v>204</v>
      </c>
      <c r="C33" s="17" t="s">
        <v>205</v>
      </c>
      <c r="D33" s="17">
        <v>528472364</v>
      </c>
      <c r="E33" s="4"/>
      <c r="F33" s="4" t="s">
        <v>206</v>
      </c>
      <c r="G33" s="4" t="s">
        <v>207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42">
      <c r="A34" s="17" t="s">
        <v>210</v>
      </c>
      <c r="B34" s="17"/>
      <c r="C34" s="17" t="s">
        <v>211</v>
      </c>
      <c r="D34" s="17" t="s">
        <v>212</v>
      </c>
      <c r="E34" s="4"/>
      <c r="F34" s="4" t="s">
        <v>206</v>
      </c>
      <c r="G34" s="4" t="s">
        <v>213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">
      <c r="A35" s="17" t="s">
        <v>214</v>
      </c>
      <c r="B35" s="17" t="s">
        <v>215</v>
      </c>
      <c r="C35" s="17"/>
      <c r="D35" s="1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8">
      <c r="A36" s="17" t="s">
        <v>220</v>
      </c>
      <c r="B36" s="17" t="s">
        <v>221</v>
      </c>
      <c r="C36" s="17" t="s">
        <v>222</v>
      </c>
      <c r="D36" s="1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4">
      <c r="A37" s="17" t="s">
        <v>224</v>
      </c>
      <c r="B37" s="17" t="s">
        <v>225</v>
      </c>
      <c r="C37" s="17" t="s">
        <v>103</v>
      </c>
      <c r="D37" s="17">
        <v>506441401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8">
      <c r="A38" s="17" t="s">
        <v>227</v>
      </c>
      <c r="B38" s="17" t="s">
        <v>228</v>
      </c>
      <c r="C38" s="17" t="s">
        <v>229</v>
      </c>
      <c r="D38" s="17">
        <v>547710417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4">
      <c r="A39" s="22" t="s">
        <v>235</v>
      </c>
      <c r="B39" s="17" t="s">
        <v>236</v>
      </c>
      <c r="C39" s="17"/>
      <c r="D39" s="17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8">
      <c r="A40" s="22" t="s">
        <v>239</v>
      </c>
      <c r="B40" s="17" t="s">
        <v>240</v>
      </c>
      <c r="C40" s="17"/>
      <c r="D40" s="1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4">
      <c r="A41" s="17" t="s">
        <v>244</v>
      </c>
      <c r="B41" s="17" t="s">
        <v>112</v>
      </c>
      <c r="C41" s="17" t="s">
        <v>246</v>
      </c>
      <c r="D41" s="17">
        <v>505305406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4">
      <c r="A42" s="17" t="s">
        <v>249</v>
      </c>
      <c r="B42" s="17"/>
      <c r="C42" s="17"/>
      <c r="D42" s="17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4">
      <c r="A43" s="17" t="s">
        <v>251</v>
      </c>
      <c r="B43" s="17"/>
      <c r="C43" s="17"/>
      <c r="D43" s="17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4">
      <c r="A44" s="17" t="s">
        <v>253</v>
      </c>
      <c r="B44" s="17"/>
      <c r="C44" s="17"/>
      <c r="D44" s="17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4">
      <c r="A45" s="17" t="s">
        <v>258</v>
      </c>
      <c r="B45" s="17"/>
      <c r="C45" s="17"/>
      <c r="D45" s="17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4">
      <c r="A46" s="17" t="s">
        <v>262</v>
      </c>
      <c r="B46" s="17"/>
      <c r="C46" s="17"/>
      <c r="D46" s="17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4">
      <c r="A47" s="17" t="s">
        <v>267</v>
      </c>
      <c r="B47" s="17"/>
      <c r="C47" s="17"/>
      <c r="D47" s="17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4">
      <c r="A48" s="17"/>
      <c r="B48" s="17"/>
      <c r="C48" s="17"/>
      <c r="D48" s="17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4">
      <c r="A49" s="17"/>
      <c r="B49" s="17"/>
      <c r="C49" s="17"/>
      <c r="D49" s="1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4">
      <c r="A50" s="17"/>
      <c r="B50" s="17"/>
      <c r="C50" s="17"/>
      <c r="D50" s="1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4">
      <c r="A51" s="17"/>
      <c r="B51" s="17"/>
      <c r="C51" s="17"/>
      <c r="D51" s="1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4">
      <c r="A52" s="17"/>
      <c r="B52" s="17"/>
      <c r="C52" s="17"/>
      <c r="D52" s="1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4">
      <c r="A53" s="17"/>
      <c r="B53" s="17"/>
      <c r="C53" s="17"/>
      <c r="D53" s="1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4">
      <c r="A54" s="17"/>
      <c r="B54" s="17"/>
      <c r="C54" s="17"/>
      <c r="D54" s="1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0">
      <c r="A55" s="21"/>
      <c r="B55" s="33" t="s">
        <v>281</v>
      </c>
      <c r="C55" s="29"/>
      <c r="D55" s="2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28">
      <c r="A56" s="8" t="s">
        <v>9</v>
      </c>
      <c r="B56" s="8" t="s">
        <v>0</v>
      </c>
      <c r="C56" s="8" t="s">
        <v>10</v>
      </c>
      <c r="D56" s="8" t="s">
        <v>3</v>
      </c>
      <c r="E56" s="8" t="s">
        <v>4</v>
      </c>
      <c r="F56" s="8" t="s">
        <v>11</v>
      </c>
      <c r="G56" s="8" t="s">
        <v>12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8">
      <c r="A57" s="23" t="s">
        <v>285</v>
      </c>
      <c r="B57" s="23" t="s">
        <v>286</v>
      </c>
      <c r="C57" s="23" t="s">
        <v>288</v>
      </c>
      <c r="D57" s="23" t="s">
        <v>289</v>
      </c>
      <c r="E57" s="8"/>
      <c r="F57" s="8" t="s">
        <v>287</v>
      </c>
      <c r="G57" s="8" t="s">
        <v>290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4">
      <c r="A58" s="17"/>
      <c r="B58" s="17"/>
      <c r="C58" s="17"/>
      <c r="D58" s="1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4">
      <c r="A59" s="17"/>
      <c r="B59" s="17"/>
      <c r="C59" s="17"/>
      <c r="D59" s="1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4">
      <c r="A60" s="17"/>
      <c r="B60" s="17"/>
      <c r="C60" s="17"/>
      <c r="D60" s="1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4">
      <c r="A61" s="17"/>
      <c r="B61" s="17"/>
      <c r="C61" s="17"/>
      <c r="D61" s="1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20">
      <c r="A62" s="21"/>
      <c r="B62" s="33" t="s">
        <v>291</v>
      </c>
      <c r="C62" s="29"/>
      <c r="D62" s="29"/>
      <c r="E62" s="24"/>
      <c r="F62" s="24"/>
      <c r="G62" s="2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28">
      <c r="A63" s="25" t="s">
        <v>9</v>
      </c>
      <c r="B63" s="25" t="s">
        <v>0</v>
      </c>
      <c r="C63" s="25" t="s">
        <v>10</v>
      </c>
      <c r="D63" s="25" t="s">
        <v>3</v>
      </c>
      <c r="E63" s="25" t="s">
        <v>4</v>
      </c>
      <c r="F63" s="25" t="s">
        <v>11</v>
      </c>
      <c r="G63" s="25" t="s">
        <v>12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70">
      <c r="A64" s="26" t="s">
        <v>292</v>
      </c>
      <c r="B64" s="26" t="s">
        <v>293</v>
      </c>
      <c r="C64" s="26" t="s">
        <v>294</v>
      </c>
      <c r="D64" s="26">
        <v>537769436</v>
      </c>
      <c r="E64" s="24"/>
      <c r="F64" s="24" t="s">
        <v>295</v>
      </c>
      <c r="G64" s="2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42">
      <c r="A65" s="26" t="s">
        <v>292</v>
      </c>
      <c r="B65" s="26" t="s">
        <v>296</v>
      </c>
      <c r="C65" s="26" t="s">
        <v>297</v>
      </c>
      <c r="D65" s="26" t="s">
        <v>298</v>
      </c>
      <c r="E65" s="24"/>
      <c r="F65" s="24"/>
      <c r="G65" s="2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42">
      <c r="A66" s="17" t="s">
        <v>292</v>
      </c>
      <c r="B66" s="17" t="s">
        <v>299</v>
      </c>
      <c r="C66" s="17" t="s">
        <v>272</v>
      </c>
      <c r="D66" s="17" t="s">
        <v>300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28">
      <c r="A67" s="17" t="s">
        <v>292</v>
      </c>
      <c r="B67" s="17" t="s">
        <v>301</v>
      </c>
      <c r="C67" s="17" t="s">
        <v>302</v>
      </c>
      <c r="D67" s="17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20">
      <c r="A70" s="21"/>
      <c r="B70" s="33" t="s">
        <v>303</v>
      </c>
      <c r="C70" s="29"/>
      <c r="D70" s="29"/>
      <c r="E70" s="24"/>
      <c r="F70" s="24"/>
      <c r="G70" s="2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28">
      <c r="A71" s="25" t="s">
        <v>9</v>
      </c>
      <c r="B71" s="25" t="s">
        <v>0</v>
      </c>
      <c r="C71" s="25" t="s">
        <v>10</v>
      </c>
      <c r="D71" s="25" t="s">
        <v>3</v>
      </c>
      <c r="E71" s="25" t="s">
        <v>4</v>
      </c>
      <c r="F71" s="25" t="s">
        <v>11</v>
      </c>
      <c r="G71" s="25" t="s">
        <v>12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28">
      <c r="A72" s="12" t="s">
        <v>304</v>
      </c>
      <c r="B72" s="25" t="s">
        <v>305</v>
      </c>
      <c r="C72" s="27" t="s">
        <v>306</v>
      </c>
      <c r="D72" s="25">
        <v>41796684276</v>
      </c>
      <c r="E72" s="25" t="s">
        <v>307</v>
      </c>
      <c r="F72" s="25" t="s">
        <v>308</v>
      </c>
      <c r="G72" s="25" t="s">
        <v>309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42">
      <c r="A73" s="4" t="s">
        <v>310</v>
      </c>
      <c r="B73" s="25" t="s">
        <v>311</v>
      </c>
      <c r="C73" s="27" t="s">
        <v>109</v>
      </c>
      <c r="D73" s="25">
        <v>972505156776</v>
      </c>
      <c r="E73" s="25"/>
      <c r="F73" s="25"/>
      <c r="G73" s="25" t="s">
        <v>312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42">
      <c r="A74" s="4" t="s">
        <v>313</v>
      </c>
      <c r="B74" s="25" t="s">
        <v>314</v>
      </c>
      <c r="C74" s="27" t="s">
        <v>315</v>
      </c>
      <c r="D74" s="25" t="s">
        <v>316</v>
      </c>
      <c r="E74" s="25"/>
      <c r="F74" s="25" t="s">
        <v>315</v>
      </c>
      <c r="G74" s="25" t="s">
        <v>317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28">
      <c r="A75" s="4" t="s">
        <v>318</v>
      </c>
      <c r="B75" s="25" t="s">
        <v>319</v>
      </c>
      <c r="C75" s="27" t="s">
        <v>320</v>
      </c>
      <c r="D75" s="25" t="s">
        <v>321</v>
      </c>
      <c r="E75" s="25"/>
      <c r="F75" s="25" t="s">
        <v>320</v>
      </c>
      <c r="G75" s="25" t="s">
        <v>322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84">
      <c r="A76" s="4" t="s">
        <v>323</v>
      </c>
      <c r="B76" s="25" t="s">
        <v>324</v>
      </c>
      <c r="C76" s="27" t="s">
        <v>325</v>
      </c>
      <c r="D76" s="25" t="s">
        <v>326</v>
      </c>
      <c r="E76" s="25"/>
      <c r="F76" s="25"/>
      <c r="G76" s="25" t="s">
        <v>327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4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4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4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4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4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4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14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 ht="14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 ht="14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 ht="14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 ht="14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 ht="14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 ht="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 ht="14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 ht="14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 ht="14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 ht="14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 ht="14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ht="14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 ht="14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 ht="14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spans="1:27" ht="14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spans="1:27" ht="1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spans="1:27" ht="14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spans="1:27" ht="14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spans="1:27" ht="14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spans="1:27" ht="14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spans="1:27" ht="14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spans="1:27" ht="14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spans="1:27" ht="14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 spans="1:27" ht="14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 spans="1:27" ht="14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 spans="1:27" ht="1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 spans="1:27" ht="14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 spans="1:27" ht="14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 spans="1:27" ht="14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 spans="1:27" ht="14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 spans="1:27" ht="14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 spans="1:27" ht="14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 spans="1:27" ht="14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 spans="1:27" ht="14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</sheetData>
  <mergeCells count="5">
    <mergeCell ref="B1:D1"/>
    <mergeCell ref="B31:D31"/>
    <mergeCell ref="B55:D55"/>
    <mergeCell ref="B62:D62"/>
    <mergeCell ref="B70:D70"/>
  </mergeCells>
  <conditionalFormatting sqref="A2:G14 A32:G32 A56:G56">
    <cfRule type="notContainsBlanks" dxfId="0" priority="1">
      <formula>LEN(TRIM(A2))&gt;0</formula>
    </cfRule>
  </conditionalFormatting>
  <hyperlinks>
    <hyperlink ref="E3" r:id="rId1" xr:uid="{00000000-0004-0000-0100-000000000000}"/>
    <hyperlink ref="E7" r:id="rId2" xr:uid="{00000000-0004-0000-0100-000001000000}"/>
    <hyperlink ref="E8" r:id="rId3" xr:uid="{00000000-0004-0000-0100-000002000000}"/>
    <hyperlink ref="E9" r:id="rId4" xr:uid="{00000000-0004-0000-0100-000003000000}"/>
    <hyperlink ref="E10" r:id="rId5" xr:uid="{00000000-0004-0000-0100-000004000000}"/>
  </hyperlinks>
  <pageMargins left="0.7" right="0.7" top="0.75" bottom="0.75" header="0.3" footer="0.3"/>
  <tableParts count="5"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תפקידים שכן טוב</vt:lpstr>
      <vt:lpstr>אנשי קשר חשובים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הילה</dc:creator>
  <cp:lastModifiedBy>Yuval Saadon</cp:lastModifiedBy>
  <dcterms:created xsi:type="dcterms:W3CDTF">2023-07-09T19:34:53Z</dcterms:created>
  <dcterms:modified xsi:type="dcterms:W3CDTF">2026-08-06T09:58:37Z</dcterms:modified>
</cp:coreProperties>
</file>